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2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oruruk\Desktop\"/>
    </mc:Choice>
  </mc:AlternateContent>
  <xr:revisionPtr revIDLastSave="0" documentId="10_ncr:0_{64AA360A-6F6A-4C42-8442-01F9F98C8D86}" xr6:coauthVersionLast="43" xr6:coauthVersionMax="43" xr10:uidLastSave="{00000000-0000-0000-0000-000000000000}"/>
  <bookViews>
    <workbookView xWindow="-108" yWindow="-108" windowWidth="23256" windowHeight="12720" xr2:uid="{214D5526-2B3B-46F7-9A39-58525DEDD8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7" i="2" l="1"/>
  <c r="N8" i="2"/>
  <c r="N9" i="2"/>
  <c r="N10" i="2"/>
  <c r="P10" i="2" s="1"/>
  <c r="N11" i="2"/>
  <c r="P11" i="2" s="1"/>
  <c r="N12" i="2"/>
  <c r="P12" i="2" s="1"/>
  <c r="N13" i="2"/>
  <c r="N14" i="2"/>
  <c r="P14" i="2" s="1"/>
  <c r="N15" i="2"/>
  <c r="N16" i="2"/>
  <c r="N17" i="2"/>
  <c r="P17" i="2" s="1"/>
  <c r="N18" i="2"/>
  <c r="P18" i="2" s="1"/>
  <c r="N19" i="2"/>
  <c r="P19" i="2" s="1"/>
  <c r="N20" i="2"/>
  <c r="P20" i="2" s="1"/>
  <c r="N21" i="2"/>
  <c r="P21" i="2" s="1"/>
  <c r="N22" i="2"/>
  <c r="P22" i="2" s="1"/>
  <c r="N23" i="2"/>
  <c r="P23" i="2" s="1"/>
  <c r="N24" i="2"/>
  <c r="N25" i="2"/>
  <c r="N6" i="2"/>
  <c r="P7" i="2"/>
  <c r="P9" i="2"/>
  <c r="P13" i="2"/>
  <c r="P15" i="2"/>
  <c r="P24" i="2"/>
  <c r="P6" i="2"/>
  <c r="P25" i="2"/>
  <c r="P16" i="2"/>
  <c r="P8" i="2"/>
  <c r="AN3" i="1"/>
  <c r="AP3" i="1" s="1"/>
  <c r="AS3" i="1" s="1"/>
  <c r="AN4" i="1"/>
  <c r="AP4" i="1" s="1"/>
  <c r="AR4" i="1" s="1"/>
  <c r="AN5" i="1"/>
  <c r="AP5" i="1" s="1"/>
  <c r="AN6" i="1"/>
  <c r="AP6" i="1" s="1"/>
  <c r="AR6" i="1" s="1"/>
  <c r="AN7" i="1"/>
  <c r="AP7" i="1" s="1"/>
  <c r="AR7" i="1" s="1"/>
  <c r="AN8" i="1"/>
  <c r="AP8" i="1" s="1"/>
  <c r="AR8" i="1" s="1"/>
  <c r="AN9" i="1"/>
  <c r="AP9" i="1" s="1"/>
  <c r="AR9" i="1" s="1"/>
  <c r="AN10" i="1"/>
  <c r="AP10" i="1" s="1"/>
  <c r="AR10" i="1" s="1"/>
  <c r="AN11" i="1"/>
  <c r="AP11" i="1" s="1"/>
  <c r="AR11" i="1" s="1"/>
  <c r="AN12" i="1"/>
  <c r="AP12" i="1" s="1"/>
  <c r="AR12" i="1" s="1"/>
  <c r="AN13" i="1"/>
  <c r="AP13" i="1" s="1"/>
  <c r="AN14" i="1"/>
  <c r="AP14" i="1" s="1"/>
  <c r="AR14" i="1" s="1"/>
  <c r="AN15" i="1"/>
  <c r="AP15" i="1" s="1"/>
  <c r="AR15" i="1" s="1"/>
  <c r="AN16" i="1"/>
  <c r="AP16" i="1" s="1"/>
  <c r="AR16" i="1" s="1"/>
  <c r="AN17" i="1"/>
  <c r="AP17" i="1" s="1"/>
  <c r="AR17" i="1" s="1"/>
  <c r="AN18" i="1"/>
  <c r="AP18" i="1" s="1"/>
  <c r="AR18" i="1" s="1"/>
  <c r="AN19" i="1"/>
  <c r="AP19" i="1" s="1"/>
  <c r="AS19" i="1" s="1"/>
  <c r="AN20" i="1"/>
  <c r="AP20" i="1" s="1"/>
  <c r="AR20" i="1" s="1"/>
  <c r="AN21" i="1"/>
  <c r="AP21" i="1" s="1"/>
  <c r="AN22" i="1"/>
  <c r="AP22" i="1" s="1"/>
  <c r="AR22" i="1" s="1"/>
  <c r="C15" i="2"/>
  <c r="C16" i="2"/>
  <c r="C17" i="2"/>
  <c r="C18" i="2"/>
  <c r="C19" i="2"/>
  <c r="C20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" i="2"/>
  <c r="S18" i="2" l="1"/>
  <c r="R18" i="2"/>
  <c r="S12" i="2"/>
  <c r="R12" i="2"/>
  <c r="S22" i="2"/>
  <c r="R22" i="2"/>
  <c r="S10" i="2"/>
  <c r="R10" i="2"/>
  <c r="S21" i="2"/>
  <c r="R21" i="2"/>
  <c r="S15" i="2"/>
  <c r="R15" i="2"/>
  <c r="S23" i="2"/>
  <c r="R23" i="2"/>
  <c r="S19" i="2"/>
  <c r="R19" i="2"/>
  <c r="S13" i="2"/>
  <c r="R13" i="2"/>
  <c r="S14" i="2"/>
  <c r="R14" i="2"/>
  <c r="S8" i="2"/>
  <c r="R8" i="2"/>
  <c r="S16" i="2"/>
  <c r="R16" i="2"/>
  <c r="S24" i="2"/>
  <c r="R24" i="2"/>
  <c r="S11" i="2"/>
  <c r="R11" i="2"/>
  <c r="S20" i="2"/>
  <c r="R20" i="2"/>
  <c r="S6" i="2"/>
  <c r="R6" i="2"/>
  <c r="S7" i="2"/>
  <c r="R7" i="2"/>
  <c r="S9" i="2"/>
  <c r="R9" i="2"/>
  <c r="S17" i="2"/>
  <c r="R17" i="2"/>
  <c r="S25" i="2"/>
  <c r="R25" i="2"/>
  <c r="AR19" i="1"/>
  <c r="AS14" i="1"/>
  <c r="AS15" i="1"/>
  <c r="AS22" i="1"/>
  <c r="AS11" i="1"/>
  <c r="AS6" i="1"/>
  <c r="AR5" i="1"/>
  <c r="AS5" i="1"/>
  <c r="AR13" i="1"/>
  <c r="AS13" i="1"/>
  <c r="AR21" i="1"/>
  <c r="AS21" i="1"/>
  <c r="AS18" i="1"/>
  <c r="AS10" i="1"/>
  <c r="AS7" i="1"/>
  <c r="AS17" i="1"/>
  <c r="AS9" i="1"/>
  <c r="AS20" i="1"/>
  <c r="AS16" i="1"/>
  <c r="AS12" i="1"/>
  <c r="AS8" i="1"/>
  <c r="AS4" i="1"/>
  <c r="AR3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K50" i="1"/>
  <c r="J50" i="1"/>
  <c r="I50" i="1"/>
  <c r="H50" i="1"/>
  <c r="C51" i="1"/>
  <c r="D51" i="1"/>
  <c r="E51" i="1"/>
  <c r="F51" i="1"/>
  <c r="C52" i="1"/>
  <c r="D52" i="1"/>
  <c r="E52" i="1"/>
  <c r="F52" i="1"/>
  <c r="C53" i="1"/>
  <c r="D53" i="1"/>
  <c r="E53" i="1"/>
  <c r="F53" i="1"/>
  <c r="C54" i="1"/>
  <c r="D54" i="1"/>
  <c r="E54" i="1"/>
  <c r="F54" i="1"/>
  <c r="C55" i="1"/>
  <c r="D55" i="1"/>
  <c r="E55" i="1"/>
  <c r="F55" i="1"/>
  <c r="C56" i="1"/>
  <c r="D56" i="1"/>
  <c r="E56" i="1"/>
  <c r="F56" i="1"/>
  <c r="C57" i="1"/>
  <c r="D57" i="1"/>
  <c r="E57" i="1"/>
  <c r="F57" i="1"/>
  <c r="C58" i="1"/>
  <c r="D58" i="1"/>
  <c r="E58" i="1"/>
  <c r="F58" i="1"/>
  <c r="C59" i="1"/>
  <c r="D59" i="1"/>
  <c r="E59" i="1"/>
  <c r="F59" i="1"/>
  <c r="C60" i="1"/>
  <c r="D60" i="1"/>
  <c r="E60" i="1"/>
  <c r="F60" i="1"/>
  <c r="C61" i="1"/>
  <c r="D61" i="1"/>
  <c r="E61" i="1"/>
  <c r="F61" i="1"/>
  <c r="C62" i="1"/>
  <c r="D62" i="1"/>
  <c r="E62" i="1"/>
  <c r="F62" i="1"/>
  <c r="C63" i="1"/>
  <c r="D63" i="1"/>
  <c r="E63" i="1"/>
  <c r="F63" i="1"/>
  <c r="C64" i="1"/>
  <c r="D64" i="1"/>
  <c r="E64" i="1"/>
  <c r="F64" i="1"/>
  <c r="C65" i="1"/>
  <c r="D65" i="1"/>
  <c r="E65" i="1"/>
  <c r="F65" i="1"/>
  <c r="C66" i="1"/>
  <c r="D66" i="1"/>
  <c r="E66" i="1"/>
  <c r="F66" i="1"/>
  <c r="C67" i="1"/>
  <c r="D67" i="1"/>
  <c r="E67" i="1"/>
  <c r="F67" i="1"/>
  <c r="C68" i="1"/>
  <c r="D68" i="1"/>
  <c r="E68" i="1"/>
  <c r="F68" i="1"/>
  <c r="C69" i="1"/>
  <c r="D69" i="1"/>
  <c r="E69" i="1"/>
  <c r="F69" i="1"/>
  <c r="F50" i="1"/>
  <c r="E50" i="1"/>
  <c r="D50" i="1"/>
  <c r="C50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K27" i="1"/>
  <c r="J27" i="1"/>
  <c r="I27" i="1"/>
  <c r="H27" i="1"/>
  <c r="H6" i="1"/>
  <c r="H7" i="1"/>
  <c r="H8" i="1"/>
  <c r="H9" i="1"/>
  <c r="H14" i="1"/>
  <c r="H15" i="1"/>
  <c r="H16" i="1"/>
  <c r="H17" i="1"/>
  <c r="G3" i="1"/>
  <c r="G4" i="1"/>
  <c r="G8" i="1"/>
  <c r="G9" i="1"/>
  <c r="G10" i="1"/>
  <c r="G11" i="1"/>
  <c r="G16" i="1"/>
  <c r="G17" i="1"/>
  <c r="G18" i="1"/>
  <c r="G20" i="1"/>
  <c r="F6" i="1"/>
  <c r="F7" i="1"/>
  <c r="F14" i="1"/>
  <c r="F15" i="1"/>
  <c r="F1" i="1"/>
  <c r="E2" i="1"/>
  <c r="E6" i="1"/>
  <c r="E7" i="1"/>
  <c r="E8" i="1"/>
  <c r="E9" i="1"/>
  <c r="E10" i="1"/>
  <c r="E14" i="1"/>
  <c r="E15" i="1"/>
  <c r="E16" i="1"/>
  <c r="E17" i="1"/>
  <c r="E18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F20" i="1" s="1"/>
  <c r="B19" i="1"/>
  <c r="E19" i="1" s="1"/>
  <c r="B20" i="1"/>
  <c r="E20" i="1" s="1"/>
  <c r="C2" i="1"/>
  <c r="C3" i="1"/>
  <c r="C1" i="1"/>
  <c r="B2" i="1"/>
  <c r="H2" i="1" s="1"/>
  <c r="B3" i="1"/>
  <c r="E3" i="1" s="1"/>
  <c r="B4" i="1"/>
  <c r="F4" i="1" s="1"/>
  <c r="B5" i="1"/>
  <c r="G5" i="1" s="1"/>
  <c r="B6" i="1"/>
  <c r="G6" i="1" s="1"/>
  <c r="B7" i="1"/>
  <c r="G7" i="1" s="1"/>
  <c r="B8" i="1"/>
  <c r="F8" i="1" s="1"/>
  <c r="B9" i="1"/>
  <c r="F9" i="1" s="1"/>
  <c r="B10" i="1"/>
  <c r="H10" i="1" s="1"/>
  <c r="B11" i="1"/>
  <c r="E11" i="1" s="1"/>
  <c r="B12" i="1"/>
  <c r="E12" i="1" s="1"/>
  <c r="B13" i="1"/>
  <c r="G13" i="1" s="1"/>
  <c r="B14" i="1"/>
  <c r="G14" i="1" s="1"/>
  <c r="B15" i="1"/>
  <c r="G15" i="1" s="1"/>
  <c r="B16" i="1"/>
  <c r="F16" i="1" s="1"/>
  <c r="B17" i="1"/>
  <c r="F17" i="1" s="1"/>
  <c r="B18" i="1"/>
  <c r="H18" i="1" s="1"/>
  <c r="B1" i="1"/>
  <c r="H1" i="1" s="1"/>
  <c r="F13" i="1" l="1"/>
  <c r="F12" i="1"/>
  <c r="F11" i="1"/>
  <c r="F3" i="1"/>
  <c r="H13" i="1"/>
  <c r="E13" i="1"/>
  <c r="E5" i="1"/>
  <c r="F18" i="1"/>
  <c r="F10" i="1"/>
  <c r="F2" i="1"/>
  <c r="H20" i="1"/>
  <c r="H12" i="1"/>
  <c r="H4" i="1"/>
  <c r="G12" i="1"/>
  <c r="E1" i="1"/>
  <c r="F19" i="1"/>
  <c r="H5" i="1"/>
  <c r="E4" i="1"/>
  <c r="G1" i="1"/>
  <c r="H19" i="1"/>
  <c r="H11" i="1"/>
  <c r="H3" i="1"/>
  <c r="G19" i="1"/>
  <c r="F5" i="1"/>
  <c r="G2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Sheet1!$B$1:$B$21</c:f>
              <c:numCache>
                <c:formatCode>General</c:formatCode>
                <c:ptCount val="21"/>
                <c:pt idx="0">
                  <c:v>0</c:v>
                </c:pt>
                <c:pt idx="1">
                  <c:v>0.3090169943749474</c:v>
                </c:pt>
                <c:pt idx="2">
                  <c:v>0.58778525229247314</c:v>
                </c:pt>
                <c:pt idx="3">
                  <c:v>0.80901699437494745</c:v>
                </c:pt>
                <c:pt idx="4">
                  <c:v>0.95105651629515353</c:v>
                </c:pt>
                <c:pt idx="5">
                  <c:v>1</c:v>
                </c:pt>
                <c:pt idx="6">
                  <c:v>0.95105651629515364</c:v>
                </c:pt>
                <c:pt idx="7">
                  <c:v>0.80901699437494745</c:v>
                </c:pt>
                <c:pt idx="8">
                  <c:v>0.58778525229247325</c:v>
                </c:pt>
                <c:pt idx="9">
                  <c:v>0.30901699437494751</c:v>
                </c:pt>
                <c:pt idx="10">
                  <c:v>1.22514845490862E-16</c:v>
                </c:pt>
                <c:pt idx="11">
                  <c:v>-0.3090169943749469</c:v>
                </c:pt>
                <c:pt idx="12">
                  <c:v>-0.58778525229247303</c:v>
                </c:pt>
                <c:pt idx="13">
                  <c:v>-0.80901699437494734</c:v>
                </c:pt>
                <c:pt idx="14">
                  <c:v>-0.95105651629515353</c:v>
                </c:pt>
                <c:pt idx="15">
                  <c:v>-1</c:v>
                </c:pt>
                <c:pt idx="16">
                  <c:v>-0.95105651629515364</c:v>
                </c:pt>
                <c:pt idx="17">
                  <c:v>-0.80901699437494756</c:v>
                </c:pt>
                <c:pt idx="18">
                  <c:v>-0.58778525229247336</c:v>
                </c:pt>
                <c:pt idx="19">
                  <c:v>-0.30901699437494762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99-4324-814D-3F0E01F6C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592568"/>
        <c:axId val="553592896"/>
      </c:scatterChart>
      <c:valAx>
        <c:axId val="553592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3592896"/>
        <c:crosses val="autoZero"/>
        <c:crossBetween val="midCat"/>
      </c:valAx>
      <c:valAx>
        <c:axId val="55359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3592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COS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Sheet1!$C$1:$C$21</c:f>
              <c:numCache>
                <c:formatCode>General</c:formatCode>
                <c:ptCount val="21"/>
                <c:pt idx="0">
                  <c:v>1</c:v>
                </c:pt>
                <c:pt idx="1">
                  <c:v>0.95105651629515353</c:v>
                </c:pt>
                <c:pt idx="2">
                  <c:v>0.80901699437494745</c:v>
                </c:pt>
                <c:pt idx="3">
                  <c:v>0.58778525229247314</c:v>
                </c:pt>
                <c:pt idx="4">
                  <c:v>0.30901699437494745</c:v>
                </c:pt>
                <c:pt idx="5">
                  <c:v>6.1257422745431001E-17</c:v>
                </c:pt>
                <c:pt idx="6">
                  <c:v>-0.30901699437494734</c:v>
                </c:pt>
                <c:pt idx="7">
                  <c:v>-0.58778525229247303</c:v>
                </c:pt>
                <c:pt idx="8">
                  <c:v>-0.80901699437494734</c:v>
                </c:pt>
                <c:pt idx="9">
                  <c:v>-0.95105651629515353</c:v>
                </c:pt>
                <c:pt idx="10">
                  <c:v>-1</c:v>
                </c:pt>
                <c:pt idx="11">
                  <c:v>-0.95105651629515375</c:v>
                </c:pt>
                <c:pt idx="12">
                  <c:v>-0.80901699437494756</c:v>
                </c:pt>
                <c:pt idx="13">
                  <c:v>-0.58778525229247325</c:v>
                </c:pt>
                <c:pt idx="14">
                  <c:v>-0.30901699437494756</c:v>
                </c:pt>
                <c:pt idx="15">
                  <c:v>-1.83772268236293E-16</c:v>
                </c:pt>
                <c:pt idx="16">
                  <c:v>0.30901699437494723</c:v>
                </c:pt>
                <c:pt idx="17">
                  <c:v>0.58778525229247292</c:v>
                </c:pt>
                <c:pt idx="18">
                  <c:v>0.80901699437494734</c:v>
                </c:pt>
                <c:pt idx="19">
                  <c:v>0.95105651629515353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61-4298-B75C-68B7697B2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0240"/>
        <c:axId val="548069912"/>
      </c:scatterChart>
      <c:valAx>
        <c:axId val="54807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69912"/>
        <c:crosses val="autoZero"/>
        <c:crossBetween val="midCat"/>
      </c:valAx>
      <c:valAx>
        <c:axId val="54806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SIN +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B61-4EFC-80A2-EE28B4901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8"/>
          <c:order val="0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BF9E-4C4D-95D2-571B2D7D32DE}"/>
            </c:ext>
          </c:extLst>
        </c:ser>
        <c:ser>
          <c:idx val="9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F9E-4C4D-95D2-571B2D7D32DE}"/>
            </c:ext>
          </c:extLst>
        </c:ser>
        <c:ser>
          <c:idx val="10"/>
          <c:order val="2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F9E-4C4D-95D2-571B2D7D32DE}"/>
            </c:ext>
          </c:extLst>
        </c:ser>
        <c:ser>
          <c:idx val="11"/>
          <c:order val="3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Sheet1!$F$1:$F$21</c:f>
              <c:numCache>
                <c:formatCode>General</c:formatCode>
                <c:ptCount val="21"/>
                <c:pt idx="0">
                  <c:v>-1</c:v>
                </c:pt>
                <c:pt idx="1">
                  <c:v>-0.64203952192020619</c:v>
                </c:pt>
                <c:pt idx="2">
                  <c:v>-0.22123174208247431</c:v>
                </c:pt>
                <c:pt idx="3">
                  <c:v>0.22123174208247431</c:v>
                </c:pt>
                <c:pt idx="4">
                  <c:v>0.64203952192020608</c:v>
                </c:pt>
                <c:pt idx="5">
                  <c:v>0.99999999999999989</c:v>
                </c:pt>
                <c:pt idx="6">
                  <c:v>1.2600735106701011</c:v>
                </c:pt>
                <c:pt idx="7">
                  <c:v>1.3968022466674204</c:v>
                </c:pt>
                <c:pt idx="8">
                  <c:v>1.3968022466674206</c:v>
                </c:pt>
                <c:pt idx="9">
                  <c:v>1.2600735106701011</c:v>
                </c:pt>
                <c:pt idx="10">
                  <c:v>1.0000000000000002</c:v>
                </c:pt>
                <c:pt idx="11">
                  <c:v>0.64203952192020686</c:v>
                </c:pt>
                <c:pt idx="12">
                  <c:v>0.22123174208247454</c:v>
                </c:pt>
                <c:pt idx="13">
                  <c:v>-0.22123174208247409</c:v>
                </c:pt>
                <c:pt idx="14">
                  <c:v>-0.64203952192020597</c:v>
                </c:pt>
                <c:pt idx="15">
                  <c:v>-0.99999999999999978</c:v>
                </c:pt>
                <c:pt idx="16">
                  <c:v>-1.2600735106701009</c:v>
                </c:pt>
                <c:pt idx="17">
                  <c:v>-1.3968022466674204</c:v>
                </c:pt>
                <c:pt idx="18">
                  <c:v>-1.3968022466674208</c:v>
                </c:pt>
                <c:pt idx="19">
                  <c:v>-1.2600735106701011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BF9E-4C4D-95D2-571B2D7D32DE}"/>
            </c:ext>
          </c:extLst>
        </c:ser>
        <c:ser>
          <c:idx val="12"/>
          <c:order val="4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BF9E-4C4D-95D2-571B2D7D32DE}"/>
            </c:ext>
          </c:extLst>
        </c:ser>
        <c:ser>
          <c:idx val="13"/>
          <c:order val="5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BF9E-4C4D-95D2-571B2D7D32DE}"/>
            </c:ext>
          </c:extLst>
        </c:ser>
        <c:ser>
          <c:idx val="14"/>
          <c:order val="6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BF9E-4C4D-95D2-571B2D7D32DE}"/>
            </c:ext>
          </c:extLst>
        </c:ser>
        <c:ser>
          <c:idx val="15"/>
          <c:order val="7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Sheet1!$G$1:$G$21</c:f>
              <c:numCache>
                <c:formatCode>General</c:formatCode>
                <c:ptCount val="21"/>
                <c:pt idx="0">
                  <c:v>1</c:v>
                </c:pt>
                <c:pt idx="1">
                  <c:v>0.64203952192020619</c:v>
                </c:pt>
                <c:pt idx="2">
                  <c:v>0.22123174208247431</c:v>
                </c:pt>
                <c:pt idx="3">
                  <c:v>-0.22123174208247431</c:v>
                </c:pt>
                <c:pt idx="4">
                  <c:v>-0.64203952192020608</c:v>
                </c:pt>
                <c:pt idx="5">
                  <c:v>-0.99999999999999989</c:v>
                </c:pt>
                <c:pt idx="6">
                  <c:v>-1.2600735106701011</c:v>
                </c:pt>
                <c:pt idx="7">
                  <c:v>-1.3968022466674204</c:v>
                </c:pt>
                <c:pt idx="8">
                  <c:v>-1.3968022466674206</c:v>
                </c:pt>
                <c:pt idx="9">
                  <c:v>-1.2600735106701011</c:v>
                </c:pt>
                <c:pt idx="10">
                  <c:v>-1.0000000000000002</c:v>
                </c:pt>
                <c:pt idx="11">
                  <c:v>-0.64203952192020686</c:v>
                </c:pt>
                <c:pt idx="12">
                  <c:v>-0.22123174208247454</c:v>
                </c:pt>
                <c:pt idx="13">
                  <c:v>0.22123174208247409</c:v>
                </c:pt>
                <c:pt idx="14">
                  <c:v>0.64203952192020597</c:v>
                </c:pt>
                <c:pt idx="15">
                  <c:v>0.99999999999999978</c:v>
                </c:pt>
                <c:pt idx="16">
                  <c:v>1.2600735106701009</c:v>
                </c:pt>
                <c:pt idx="17">
                  <c:v>1.3968022466674204</c:v>
                </c:pt>
                <c:pt idx="18">
                  <c:v>1.3968022466674208</c:v>
                </c:pt>
                <c:pt idx="19">
                  <c:v>1.2600735106701011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BF9E-4C4D-95D2-571B2D7D32DE}"/>
            </c:ext>
          </c:extLst>
        </c:ser>
        <c:ser>
          <c:idx val="4"/>
          <c:order val="8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F9E-4C4D-95D2-571B2D7D32DE}"/>
            </c:ext>
          </c:extLst>
        </c:ser>
        <c:ser>
          <c:idx val="5"/>
          <c:order val="9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F9E-4C4D-95D2-571B2D7D32DE}"/>
            </c:ext>
          </c:extLst>
        </c:ser>
        <c:ser>
          <c:idx val="6"/>
          <c:order val="10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F9E-4C4D-95D2-571B2D7D32DE}"/>
            </c:ext>
          </c:extLst>
        </c:ser>
        <c:ser>
          <c:idx val="7"/>
          <c:order val="11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Sheet1!$H$1:$H$21</c:f>
              <c:numCache>
                <c:formatCode>General</c:formatCode>
                <c:ptCount val="21"/>
                <c:pt idx="0">
                  <c:v>-1</c:v>
                </c:pt>
                <c:pt idx="1">
                  <c:v>-1.2600735106701009</c:v>
                </c:pt>
                <c:pt idx="2">
                  <c:v>-1.3968022466674206</c:v>
                </c:pt>
                <c:pt idx="3">
                  <c:v>-1.3968022466674206</c:v>
                </c:pt>
                <c:pt idx="4">
                  <c:v>-1.2600735106701011</c:v>
                </c:pt>
                <c:pt idx="5">
                  <c:v>-1</c:v>
                </c:pt>
                <c:pt idx="6">
                  <c:v>-0.6420395219202063</c:v>
                </c:pt>
                <c:pt idx="7">
                  <c:v>-0.22123174208247443</c:v>
                </c:pt>
                <c:pt idx="8">
                  <c:v>0.22123174208247409</c:v>
                </c:pt>
                <c:pt idx="9">
                  <c:v>0.64203952192020597</c:v>
                </c:pt>
                <c:pt idx="10">
                  <c:v>0.99999999999999989</c:v>
                </c:pt>
                <c:pt idx="11">
                  <c:v>1.2600735106701006</c:v>
                </c:pt>
                <c:pt idx="12">
                  <c:v>1.3968022466674206</c:v>
                </c:pt>
                <c:pt idx="13">
                  <c:v>1.3968022466674206</c:v>
                </c:pt>
                <c:pt idx="14">
                  <c:v>1.2600735106701011</c:v>
                </c:pt>
                <c:pt idx="15">
                  <c:v>1.0000000000000002</c:v>
                </c:pt>
                <c:pt idx="16">
                  <c:v>0.64203952192020641</c:v>
                </c:pt>
                <c:pt idx="17">
                  <c:v>0.22123174208247465</c:v>
                </c:pt>
                <c:pt idx="18">
                  <c:v>-0.22123174208247398</c:v>
                </c:pt>
                <c:pt idx="19">
                  <c:v>-0.64203952192020597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BF9E-4C4D-95D2-571B2D7D32DE}"/>
            </c:ext>
          </c:extLst>
        </c:ser>
        <c:ser>
          <c:idx val="2"/>
          <c:order val="12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F9E-4C4D-95D2-571B2D7D32DE}"/>
            </c:ext>
          </c:extLst>
        </c:ser>
        <c:ser>
          <c:idx val="3"/>
          <c:order val="13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BF9E-4C4D-95D2-571B2D7D32DE}"/>
            </c:ext>
          </c:extLst>
        </c:ser>
        <c:ser>
          <c:idx val="1"/>
          <c:order val="14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Sheet1!$E$1:$E$21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BF9E-4C4D-95D2-571B2D7D32DE}"/>
            </c:ext>
          </c:extLst>
        </c:ser>
        <c:ser>
          <c:idx val="0"/>
          <c:order val="15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Sheet1!$G$1:$G$21</c:f>
              <c:numCache>
                <c:formatCode>General</c:formatCode>
                <c:ptCount val="21"/>
                <c:pt idx="0">
                  <c:v>1</c:v>
                </c:pt>
                <c:pt idx="1">
                  <c:v>0.64203952192020619</c:v>
                </c:pt>
                <c:pt idx="2">
                  <c:v>0.22123174208247431</c:v>
                </c:pt>
                <c:pt idx="3">
                  <c:v>-0.22123174208247431</c:v>
                </c:pt>
                <c:pt idx="4">
                  <c:v>-0.64203952192020608</c:v>
                </c:pt>
                <c:pt idx="5">
                  <c:v>-0.99999999999999989</c:v>
                </c:pt>
                <c:pt idx="6">
                  <c:v>-1.2600735106701011</c:v>
                </c:pt>
                <c:pt idx="7">
                  <c:v>-1.3968022466674204</c:v>
                </c:pt>
                <c:pt idx="8">
                  <c:v>-1.3968022466674206</c:v>
                </c:pt>
                <c:pt idx="9">
                  <c:v>-1.2600735106701011</c:v>
                </c:pt>
                <c:pt idx="10">
                  <c:v>-1.0000000000000002</c:v>
                </c:pt>
                <c:pt idx="11">
                  <c:v>-0.64203952192020686</c:v>
                </c:pt>
                <c:pt idx="12">
                  <c:v>-0.22123174208247454</c:v>
                </c:pt>
                <c:pt idx="13">
                  <c:v>0.22123174208247409</c:v>
                </c:pt>
                <c:pt idx="14">
                  <c:v>0.64203952192020597</c:v>
                </c:pt>
                <c:pt idx="15">
                  <c:v>0.99999999999999978</c:v>
                </c:pt>
                <c:pt idx="16">
                  <c:v>1.2600735106701009</c:v>
                </c:pt>
                <c:pt idx="17">
                  <c:v>1.3968022466674204</c:v>
                </c:pt>
                <c:pt idx="18">
                  <c:v>1.3968022466674208</c:v>
                </c:pt>
                <c:pt idx="19">
                  <c:v>1.2600735106701011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BF9E-4C4D-95D2-571B2D7D3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SIN -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Sheet1!$F$1:$F$21</c:f>
              <c:numCache>
                <c:formatCode>General</c:formatCode>
                <c:ptCount val="21"/>
                <c:pt idx="0">
                  <c:v>-1</c:v>
                </c:pt>
                <c:pt idx="1">
                  <c:v>-0.64203952192020619</c:v>
                </c:pt>
                <c:pt idx="2">
                  <c:v>-0.22123174208247431</c:v>
                </c:pt>
                <c:pt idx="3">
                  <c:v>0.22123174208247431</c:v>
                </c:pt>
                <c:pt idx="4">
                  <c:v>0.64203952192020608</c:v>
                </c:pt>
                <c:pt idx="5">
                  <c:v>0.99999999999999989</c:v>
                </c:pt>
                <c:pt idx="6">
                  <c:v>1.2600735106701011</c:v>
                </c:pt>
                <c:pt idx="7">
                  <c:v>1.3968022466674204</c:v>
                </c:pt>
                <c:pt idx="8">
                  <c:v>1.3968022466674206</c:v>
                </c:pt>
                <c:pt idx="9">
                  <c:v>1.2600735106701011</c:v>
                </c:pt>
                <c:pt idx="10">
                  <c:v>1.0000000000000002</c:v>
                </c:pt>
                <c:pt idx="11">
                  <c:v>0.64203952192020686</c:v>
                </c:pt>
                <c:pt idx="12">
                  <c:v>0.22123174208247454</c:v>
                </c:pt>
                <c:pt idx="13">
                  <c:v>-0.22123174208247409</c:v>
                </c:pt>
                <c:pt idx="14">
                  <c:v>-0.64203952192020597</c:v>
                </c:pt>
                <c:pt idx="15">
                  <c:v>-0.99999999999999978</c:v>
                </c:pt>
                <c:pt idx="16">
                  <c:v>-1.2600735106701009</c:v>
                </c:pt>
                <c:pt idx="17">
                  <c:v>-1.3968022466674204</c:v>
                </c:pt>
                <c:pt idx="18">
                  <c:v>-1.3968022466674208</c:v>
                </c:pt>
                <c:pt idx="19">
                  <c:v>-1.2600735106701011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FB-4E1C-85D6-6CE1E0517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 SIN +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Sheet1!$G$1:$G$21</c:f>
              <c:numCache>
                <c:formatCode>General</c:formatCode>
                <c:ptCount val="21"/>
                <c:pt idx="0">
                  <c:v>1</c:v>
                </c:pt>
                <c:pt idx="1">
                  <c:v>0.64203952192020619</c:v>
                </c:pt>
                <c:pt idx="2">
                  <c:v>0.22123174208247431</c:v>
                </c:pt>
                <c:pt idx="3">
                  <c:v>-0.22123174208247431</c:v>
                </c:pt>
                <c:pt idx="4">
                  <c:v>-0.64203952192020608</c:v>
                </c:pt>
                <c:pt idx="5">
                  <c:v>-0.99999999999999989</c:v>
                </c:pt>
                <c:pt idx="6">
                  <c:v>-1.2600735106701011</c:v>
                </c:pt>
                <c:pt idx="7">
                  <c:v>-1.3968022466674204</c:v>
                </c:pt>
                <c:pt idx="8">
                  <c:v>-1.3968022466674206</c:v>
                </c:pt>
                <c:pt idx="9">
                  <c:v>-1.2600735106701011</c:v>
                </c:pt>
                <c:pt idx="10">
                  <c:v>-1.0000000000000002</c:v>
                </c:pt>
                <c:pt idx="11">
                  <c:v>-0.64203952192020686</c:v>
                </c:pt>
                <c:pt idx="12">
                  <c:v>-0.22123174208247454</c:v>
                </c:pt>
                <c:pt idx="13">
                  <c:v>0.22123174208247409</c:v>
                </c:pt>
                <c:pt idx="14">
                  <c:v>0.64203952192020597</c:v>
                </c:pt>
                <c:pt idx="15">
                  <c:v>0.99999999999999978</c:v>
                </c:pt>
                <c:pt idx="16">
                  <c:v>1.2600735106701009</c:v>
                </c:pt>
                <c:pt idx="17">
                  <c:v>1.3968022466674204</c:v>
                </c:pt>
                <c:pt idx="18">
                  <c:v>1.3968022466674208</c:v>
                </c:pt>
                <c:pt idx="19">
                  <c:v>1.2600735106701011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10-4ECB-89A5-162F34A80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 SIN -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Sheet1!$A$1:$A$21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Sheet1!$H$1:$H$21</c:f>
              <c:numCache>
                <c:formatCode>General</c:formatCode>
                <c:ptCount val="21"/>
                <c:pt idx="0">
                  <c:v>-1</c:v>
                </c:pt>
                <c:pt idx="1">
                  <c:v>-1.2600735106701009</c:v>
                </c:pt>
                <c:pt idx="2">
                  <c:v>-1.3968022466674206</c:v>
                </c:pt>
                <c:pt idx="3">
                  <c:v>-1.3968022466674206</c:v>
                </c:pt>
                <c:pt idx="4">
                  <c:v>-1.2600735106701011</c:v>
                </c:pt>
                <c:pt idx="5">
                  <c:v>-1</c:v>
                </c:pt>
                <c:pt idx="6">
                  <c:v>-0.6420395219202063</c:v>
                </c:pt>
                <c:pt idx="7">
                  <c:v>-0.22123174208247443</c:v>
                </c:pt>
                <c:pt idx="8">
                  <c:v>0.22123174208247409</c:v>
                </c:pt>
                <c:pt idx="9">
                  <c:v>0.64203952192020597</c:v>
                </c:pt>
                <c:pt idx="10">
                  <c:v>0.99999999999999989</c:v>
                </c:pt>
                <c:pt idx="11">
                  <c:v>1.2600735106701006</c:v>
                </c:pt>
                <c:pt idx="12">
                  <c:v>1.3968022466674206</c:v>
                </c:pt>
                <c:pt idx="13">
                  <c:v>1.3968022466674206</c:v>
                </c:pt>
                <c:pt idx="14">
                  <c:v>1.2600735106701011</c:v>
                </c:pt>
                <c:pt idx="15">
                  <c:v>1.0000000000000002</c:v>
                </c:pt>
                <c:pt idx="16">
                  <c:v>0.64203952192020641</c:v>
                </c:pt>
                <c:pt idx="17">
                  <c:v>0.22123174208247465</c:v>
                </c:pt>
                <c:pt idx="18">
                  <c:v>-0.22123174208247398</c:v>
                </c:pt>
                <c:pt idx="19">
                  <c:v>-0.64203952192020597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21-4AE0-908F-353A336CD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SIN +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Sheet1!$H$27:$H$47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96-4A6D-8A11-A8B53427E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2*SIN +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Sheet1!$I$27:$I$47</c:f>
              <c:numCache>
                <c:formatCode>General</c:formatCode>
                <c:ptCount val="21"/>
                <c:pt idx="0">
                  <c:v>1</c:v>
                </c:pt>
                <c:pt idx="1">
                  <c:v>1.5690905050450483</c:v>
                </c:pt>
                <c:pt idx="2">
                  <c:v>1.9845874989598937</c:v>
                </c:pt>
                <c:pt idx="3">
                  <c:v>2.2058192410423683</c:v>
                </c:pt>
                <c:pt idx="4">
                  <c:v>2.2111300269652547</c:v>
                </c:pt>
                <c:pt idx="5">
                  <c:v>2</c:v>
                </c:pt>
                <c:pt idx="6">
                  <c:v>1.5930960382153598</c:v>
                </c:pt>
                <c:pt idx="7">
                  <c:v>1.030248736457422</c:v>
                </c:pt>
                <c:pt idx="8">
                  <c:v>0.36655351020999916</c:v>
                </c:pt>
                <c:pt idx="9">
                  <c:v>-0.33302252754525852</c:v>
                </c:pt>
                <c:pt idx="10">
                  <c:v>-0.99999999999999978</c:v>
                </c:pt>
                <c:pt idx="11">
                  <c:v>-1.5690905050450477</c:v>
                </c:pt>
                <c:pt idx="12">
                  <c:v>-1.9845874989598937</c:v>
                </c:pt>
                <c:pt idx="13">
                  <c:v>-2.2058192410423678</c:v>
                </c:pt>
                <c:pt idx="14">
                  <c:v>-2.2111300269652547</c:v>
                </c:pt>
                <c:pt idx="15">
                  <c:v>-2</c:v>
                </c:pt>
                <c:pt idx="16">
                  <c:v>-1.5930960382153601</c:v>
                </c:pt>
                <c:pt idx="17">
                  <c:v>-1.0302487364574222</c:v>
                </c:pt>
                <c:pt idx="18">
                  <c:v>-0.36655351020999938</c:v>
                </c:pt>
                <c:pt idx="19">
                  <c:v>0.3330225275452583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BD-4FD1-AFCC-E005B1DF4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SIN + 2*COS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Sheet1!$J$27:$J$47</c:f>
              <c:numCache>
                <c:formatCode>General</c:formatCode>
                <c:ptCount val="21"/>
                <c:pt idx="0">
                  <c:v>2</c:v>
                </c:pt>
                <c:pt idx="1">
                  <c:v>2.2111300269652543</c:v>
                </c:pt>
                <c:pt idx="2">
                  <c:v>2.2058192410423683</c:v>
                </c:pt>
                <c:pt idx="3">
                  <c:v>1.9845874989598937</c:v>
                </c:pt>
                <c:pt idx="4">
                  <c:v>1.5690905050450485</c:v>
                </c:pt>
                <c:pt idx="5">
                  <c:v>1.0000000000000002</c:v>
                </c:pt>
                <c:pt idx="6">
                  <c:v>0.33302252754525896</c:v>
                </c:pt>
                <c:pt idx="7">
                  <c:v>-0.3665535102099986</c:v>
                </c:pt>
                <c:pt idx="8">
                  <c:v>-1.0302487364574215</c:v>
                </c:pt>
                <c:pt idx="9">
                  <c:v>-1.5930960382153596</c:v>
                </c:pt>
                <c:pt idx="10">
                  <c:v>-1.9999999999999998</c:v>
                </c:pt>
                <c:pt idx="11">
                  <c:v>-2.2111300269652543</c:v>
                </c:pt>
                <c:pt idx="12">
                  <c:v>-2.2058192410423683</c:v>
                </c:pt>
                <c:pt idx="13">
                  <c:v>-1.9845874989598937</c:v>
                </c:pt>
                <c:pt idx="14">
                  <c:v>-1.5690905050450485</c:v>
                </c:pt>
                <c:pt idx="15">
                  <c:v>-1.0000000000000004</c:v>
                </c:pt>
                <c:pt idx="16">
                  <c:v>-0.33302252754525918</c:v>
                </c:pt>
                <c:pt idx="17">
                  <c:v>0.36655351020999827</c:v>
                </c:pt>
                <c:pt idx="18">
                  <c:v>1.0302487364574213</c:v>
                </c:pt>
                <c:pt idx="19">
                  <c:v>1.5930960382153594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1A-4B3D-90F0-86FBB066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2*SIN + 2*COS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Sheet1!$K$27:$K$47</c:f>
              <c:numCache>
                <c:formatCode>General</c:formatCode>
                <c:ptCount val="21"/>
                <c:pt idx="0">
                  <c:v>2</c:v>
                </c:pt>
                <c:pt idx="1">
                  <c:v>2.5201470213402017</c:v>
                </c:pt>
                <c:pt idx="2">
                  <c:v>2.7936044933348412</c:v>
                </c:pt>
                <c:pt idx="3">
                  <c:v>2.7936044933348412</c:v>
                </c:pt>
                <c:pt idx="4">
                  <c:v>2.5201470213402022</c:v>
                </c:pt>
                <c:pt idx="5">
                  <c:v>2</c:v>
                </c:pt>
                <c:pt idx="6">
                  <c:v>1.2840790438404126</c:v>
                </c:pt>
                <c:pt idx="7">
                  <c:v>0.44246348416494885</c:v>
                </c:pt>
                <c:pt idx="8">
                  <c:v>-0.44246348416494818</c:v>
                </c:pt>
                <c:pt idx="9">
                  <c:v>-1.2840790438404119</c:v>
                </c:pt>
                <c:pt idx="10">
                  <c:v>-1.9999999999999998</c:v>
                </c:pt>
                <c:pt idx="11">
                  <c:v>-2.5201470213402013</c:v>
                </c:pt>
                <c:pt idx="12">
                  <c:v>-2.7936044933348412</c:v>
                </c:pt>
                <c:pt idx="13">
                  <c:v>-2.7936044933348412</c:v>
                </c:pt>
                <c:pt idx="14">
                  <c:v>-2.5201470213402022</c:v>
                </c:pt>
                <c:pt idx="15">
                  <c:v>-2.0000000000000004</c:v>
                </c:pt>
                <c:pt idx="16">
                  <c:v>-1.2840790438404128</c:v>
                </c:pt>
                <c:pt idx="17">
                  <c:v>-0.44246348416494929</c:v>
                </c:pt>
                <c:pt idx="18">
                  <c:v>0.44246348416494796</c:v>
                </c:pt>
                <c:pt idx="19">
                  <c:v>1.2840790438404119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2C-4F3F-B57B-A2EC34F48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2*SIN - 2*COS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Sheet1!$F$27:$F$47</c:f>
              <c:numCache>
                <c:formatCode>General</c:formatCode>
                <c:ptCount val="21"/>
                <c:pt idx="0">
                  <c:v>-2</c:v>
                </c:pt>
                <c:pt idx="1">
                  <c:v>-1.2840790438404124</c:v>
                </c:pt>
                <c:pt idx="2">
                  <c:v>-0.44246348416494863</c:v>
                </c:pt>
                <c:pt idx="3">
                  <c:v>0.44246348416494863</c:v>
                </c:pt>
                <c:pt idx="4">
                  <c:v>1.2840790438404122</c:v>
                </c:pt>
                <c:pt idx="5">
                  <c:v>1.9999999999999998</c:v>
                </c:pt>
                <c:pt idx="6">
                  <c:v>2.5201470213402022</c:v>
                </c:pt>
                <c:pt idx="7">
                  <c:v>2.7936044933348407</c:v>
                </c:pt>
                <c:pt idx="8">
                  <c:v>2.7936044933348412</c:v>
                </c:pt>
                <c:pt idx="9">
                  <c:v>2.5201470213402022</c:v>
                </c:pt>
                <c:pt idx="10">
                  <c:v>2.0000000000000004</c:v>
                </c:pt>
                <c:pt idx="11">
                  <c:v>1.2840790438404137</c:v>
                </c:pt>
                <c:pt idx="12">
                  <c:v>0.44246348416494907</c:v>
                </c:pt>
                <c:pt idx="13">
                  <c:v>-0.44246348416494818</c:v>
                </c:pt>
                <c:pt idx="14">
                  <c:v>-1.2840790438404119</c:v>
                </c:pt>
                <c:pt idx="15">
                  <c:v>-1.9999999999999996</c:v>
                </c:pt>
                <c:pt idx="16">
                  <c:v>-2.5201470213402017</c:v>
                </c:pt>
                <c:pt idx="17">
                  <c:v>-2.7936044933348407</c:v>
                </c:pt>
                <c:pt idx="18">
                  <c:v>-2.7936044933348416</c:v>
                </c:pt>
                <c:pt idx="19">
                  <c:v>-2.5201470213402022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FA-4FBC-8D5F-2CE562BC2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2*SIN -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Sheet1!$D$27:$D$47</c:f>
              <c:numCache>
                <c:formatCode>General</c:formatCode>
                <c:ptCount val="21"/>
                <c:pt idx="0">
                  <c:v>-1</c:v>
                </c:pt>
                <c:pt idx="1">
                  <c:v>-0.33302252754525874</c:v>
                </c:pt>
                <c:pt idx="2">
                  <c:v>0.36655351020999882</c:v>
                </c:pt>
                <c:pt idx="3">
                  <c:v>1.0302487364574218</c:v>
                </c:pt>
                <c:pt idx="4">
                  <c:v>1.5930960382153596</c:v>
                </c:pt>
                <c:pt idx="5">
                  <c:v>2</c:v>
                </c:pt>
                <c:pt idx="6">
                  <c:v>2.2111300269652547</c:v>
                </c:pt>
                <c:pt idx="7">
                  <c:v>2.2058192410423678</c:v>
                </c:pt>
                <c:pt idx="8">
                  <c:v>1.9845874989598937</c:v>
                </c:pt>
                <c:pt idx="9">
                  <c:v>1.5690905050450485</c:v>
                </c:pt>
                <c:pt idx="10">
                  <c:v>1.0000000000000002</c:v>
                </c:pt>
                <c:pt idx="11">
                  <c:v>0.33302252754525996</c:v>
                </c:pt>
                <c:pt idx="12">
                  <c:v>-0.36655351020999849</c:v>
                </c:pt>
                <c:pt idx="13">
                  <c:v>-1.0302487364574215</c:v>
                </c:pt>
                <c:pt idx="14">
                  <c:v>-1.5930960382153594</c:v>
                </c:pt>
                <c:pt idx="15">
                  <c:v>-1.9999999999999998</c:v>
                </c:pt>
                <c:pt idx="16">
                  <c:v>-2.2111300269652547</c:v>
                </c:pt>
                <c:pt idx="17">
                  <c:v>-2.2058192410423683</c:v>
                </c:pt>
                <c:pt idx="18">
                  <c:v>-1.9845874989598942</c:v>
                </c:pt>
                <c:pt idx="19">
                  <c:v>-1.5690905050450488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19-4FE6-BE79-226CFA87D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SIN - 2*COS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Sheet1!$E$27:$E$47</c:f>
              <c:numCache>
                <c:formatCode>General</c:formatCode>
                <c:ptCount val="21"/>
                <c:pt idx="0">
                  <c:v>-2</c:v>
                </c:pt>
                <c:pt idx="1">
                  <c:v>-1.5930960382153596</c:v>
                </c:pt>
                <c:pt idx="2">
                  <c:v>-1.0302487364574218</c:v>
                </c:pt>
                <c:pt idx="3">
                  <c:v>-0.36655351020999882</c:v>
                </c:pt>
                <c:pt idx="4">
                  <c:v>0.33302252754525863</c:v>
                </c:pt>
                <c:pt idx="5">
                  <c:v>0.99999999999999989</c:v>
                </c:pt>
                <c:pt idx="6">
                  <c:v>1.5690905050450483</c:v>
                </c:pt>
                <c:pt idx="7">
                  <c:v>1.9845874989598935</c:v>
                </c:pt>
                <c:pt idx="8">
                  <c:v>2.2058192410423678</c:v>
                </c:pt>
                <c:pt idx="9">
                  <c:v>2.2111300269652547</c:v>
                </c:pt>
                <c:pt idx="10">
                  <c:v>2</c:v>
                </c:pt>
                <c:pt idx="11">
                  <c:v>1.5930960382153607</c:v>
                </c:pt>
                <c:pt idx="12">
                  <c:v>1.030248736457422</c:v>
                </c:pt>
                <c:pt idx="13">
                  <c:v>0.36655351020999916</c:v>
                </c:pt>
                <c:pt idx="14">
                  <c:v>-0.33302252754525841</c:v>
                </c:pt>
                <c:pt idx="15">
                  <c:v>-0.99999999999999967</c:v>
                </c:pt>
                <c:pt idx="16">
                  <c:v>-1.5690905050450481</c:v>
                </c:pt>
                <c:pt idx="17">
                  <c:v>-1.9845874989598933</c:v>
                </c:pt>
                <c:pt idx="18">
                  <c:v>-2.2058192410423683</c:v>
                </c:pt>
                <c:pt idx="19">
                  <c:v>-2.2111300269652547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51-4787-BA04-BE69CCF50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SIN -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Sheet1!$C$27:$C$47</c:f>
              <c:numCache>
                <c:formatCode>General</c:formatCode>
                <c:ptCount val="21"/>
                <c:pt idx="0">
                  <c:v>-1</c:v>
                </c:pt>
                <c:pt idx="1">
                  <c:v>-0.64203952192020619</c:v>
                </c:pt>
                <c:pt idx="2">
                  <c:v>-0.22123174208247431</c:v>
                </c:pt>
                <c:pt idx="3">
                  <c:v>0.22123174208247431</c:v>
                </c:pt>
                <c:pt idx="4">
                  <c:v>0.64203952192020608</c:v>
                </c:pt>
                <c:pt idx="5">
                  <c:v>0.99999999999999989</c:v>
                </c:pt>
                <c:pt idx="6">
                  <c:v>1.2600735106701011</c:v>
                </c:pt>
                <c:pt idx="7">
                  <c:v>1.3968022466674204</c:v>
                </c:pt>
                <c:pt idx="8">
                  <c:v>1.3968022466674206</c:v>
                </c:pt>
                <c:pt idx="9">
                  <c:v>1.2600735106701011</c:v>
                </c:pt>
                <c:pt idx="10">
                  <c:v>1.0000000000000002</c:v>
                </c:pt>
                <c:pt idx="11">
                  <c:v>0.64203952192020686</c:v>
                </c:pt>
                <c:pt idx="12">
                  <c:v>0.22123174208247454</c:v>
                </c:pt>
                <c:pt idx="13">
                  <c:v>-0.22123174208247409</c:v>
                </c:pt>
                <c:pt idx="14">
                  <c:v>-0.64203952192020597</c:v>
                </c:pt>
                <c:pt idx="15">
                  <c:v>-0.99999999999999978</c:v>
                </c:pt>
                <c:pt idx="16">
                  <c:v>-1.2600735106701009</c:v>
                </c:pt>
                <c:pt idx="17">
                  <c:v>-1.3968022466674204</c:v>
                </c:pt>
                <c:pt idx="18">
                  <c:v>-1.3968022466674208</c:v>
                </c:pt>
                <c:pt idx="19">
                  <c:v>-1.2600735106701011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31-4A24-9EFE-06A9D3A68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 SIN - 2*COS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Sheet1!$A$50:$A$70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Sheet1!$E$50:$E$70</c:f>
              <c:numCache>
                <c:formatCode>General</c:formatCode>
                <c:ptCount val="21"/>
                <c:pt idx="0">
                  <c:v>-2</c:v>
                </c:pt>
                <c:pt idx="1">
                  <c:v>-2.2111300269652543</c:v>
                </c:pt>
                <c:pt idx="2">
                  <c:v>-2.2058192410423683</c:v>
                </c:pt>
                <c:pt idx="3">
                  <c:v>-1.9845874989598937</c:v>
                </c:pt>
                <c:pt idx="4">
                  <c:v>-1.5690905050450485</c:v>
                </c:pt>
                <c:pt idx="5">
                  <c:v>-1.0000000000000002</c:v>
                </c:pt>
                <c:pt idx="6">
                  <c:v>-0.33302252754525896</c:v>
                </c:pt>
                <c:pt idx="7">
                  <c:v>0.3665535102099986</c:v>
                </c:pt>
                <c:pt idx="8">
                  <c:v>1.0302487364574215</c:v>
                </c:pt>
                <c:pt idx="9">
                  <c:v>1.5930960382153596</c:v>
                </c:pt>
                <c:pt idx="10">
                  <c:v>1.9999999999999998</c:v>
                </c:pt>
                <c:pt idx="11">
                  <c:v>2.2111300269652543</c:v>
                </c:pt>
                <c:pt idx="12">
                  <c:v>2.2058192410423683</c:v>
                </c:pt>
                <c:pt idx="13">
                  <c:v>1.9845874989598937</c:v>
                </c:pt>
                <c:pt idx="14">
                  <c:v>1.5690905050450485</c:v>
                </c:pt>
                <c:pt idx="15">
                  <c:v>1.0000000000000004</c:v>
                </c:pt>
                <c:pt idx="16">
                  <c:v>0.33302252754525918</c:v>
                </c:pt>
                <c:pt idx="17">
                  <c:v>-0.36655351020999827</c:v>
                </c:pt>
                <c:pt idx="18">
                  <c:v>-1.0302487364574213</c:v>
                </c:pt>
                <c:pt idx="19">
                  <c:v>-1.5930960382153594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0B-4ABA-91F1-9323D57C5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 SIN -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Sheet1!$A$50:$A$70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Sheet1!$C$50:$C$70</c:f>
              <c:numCache>
                <c:formatCode>General</c:formatCode>
                <c:ptCount val="21"/>
                <c:pt idx="0">
                  <c:v>-1</c:v>
                </c:pt>
                <c:pt idx="1">
                  <c:v>-1.2600735106701009</c:v>
                </c:pt>
                <c:pt idx="2">
                  <c:v>-1.3968022466674206</c:v>
                </c:pt>
                <c:pt idx="3">
                  <c:v>-1.3968022466674206</c:v>
                </c:pt>
                <c:pt idx="4">
                  <c:v>-1.2600735106701011</c:v>
                </c:pt>
                <c:pt idx="5">
                  <c:v>-1</c:v>
                </c:pt>
                <c:pt idx="6">
                  <c:v>-0.6420395219202063</c:v>
                </c:pt>
                <c:pt idx="7">
                  <c:v>-0.22123174208247443</c:v>
                </c:pt>
                <c:pt idx="8">
                  <c:v>0.22123174208247409</c:v>
                </c:pt>
                <c:pt idx="9">
                  <c:v>0.64203952192020597</c:v>
                </c:pt>
                <c:pt idx="10">
                  <c:v>0.99999999999999989</c:v>
                </c:pt>
                <c:pt idx="11">
                  <c:v>1.2600735106701006</c:v>
                </c:pt>
                <c:pt idx="12">
                  <c:v>1.3968022466674206</c:v>
                </c:pt>
                <c:pt idx="13">
                  <c:v>1.3968022466674206</c:v>
                </c:pt>
                <c:pt idx="14">
                  <c:v>1.2600735106701011</c:v>
                </c:pt>
                <c:pt idx="15">
                  <c:v>1.0000000000000002</c:v>
                </c:pt>
                <c:pt idx="16">
                  <c:v>0.64203952192020641</c:v>
                </c:pt>
                <c:pt idx="17">
                  <c:v>0.22123174208247465</c:v>
                </c:pt>
                <c:pt idx="18">
                  <c:v>-0.22123174208247398</c:v>
                </c:pt>
                <c:pt idx="19">
                  <c:v>-0.64203952192020597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A2-41AC-A8E0-C87CC1B9C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  2*SIN - 2*COS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Sheet1!$A$50:$A$70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Sheet1!$F$50:$F$70</c:f>
              <c:numCache>
                <c:formatCode>General</c:formatCode>
                <c:ptCount val="21"/>
                <c:pt idx="0">
                  <c:v>-2</c:v>
                </c:pt>
                <c:pt idx="1">
                  <c:v>-2.5201470213402017</c:v>
                </c:pt>
                <c:pt idx="2">
                  <c:v>-2.7936044933348412</c:v>
                </c:pt>
                <c:pt idx="3">
                  <c:v>-2.7936044933348412</c:v>
                </c:pt>
                <c:pt idx="4">
                  <c:v>-2.5201470213402022</c:v>
                </c:pt>
                <c:pt idx="5">
                  <c:v>-2</c:v>
                </c:pt>
                <c:pt idx="6">
                  <c:v>-1.2840790438404126</c:v>
                </c:pt>
                <c:pt idx="7">
                  <c:v>-0.44246348416494885</c:v>
                </c:pt>
                <c:pt idx="8">
                  <c:v>0.44246348416494818</c:v>
                </c:pt>
                <c:pt idx="9">
                  <c:v>1.2840790438404119</c:v>
                </c:pt>
                <c:pt idx="10">
                  <c:v>1.9999999999999998</c:v>
                </c:pt>
                <c:pt idx="11">
                  <c:v>2.5201470213402013</c:v>
                </c:pt>
                <c:pt idx="12">
                  <c:v>2.7936044933348412</c:v>
                </c:pt>
                <c:pt idx="13">
                  <c:v>2.7936044933348412</c:v>
                </c:pt>
                <c:pt idx="14">
                  <c:v>2.5201470213402022</c:v>
                </c:pt>
                <c:pt idx="15">
                  <c:v>2.0000000000000004</c:v>
                </c:pt>
                <c:pt idx="16">
                  <c:v>1.2840790438404128</c:v>
                </c:pt>
                <c:pt idx="17">
                  <c:v>0.44246348416494929</c:v>
                </c:pt>
                <c:pt idx="18">
                  <c:v>-0.44246348416494796</c:v>
                </c:pt>
                <c:pt idx="19">
                  <c:v>-1.2840790438404119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DC-4D74-B62D-36D91405A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- 2*SIN -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Sheet1!$A$50:$A$70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Sheet1!$D$50:$D$70</c:f>
              <c:numCache>
                <c:formatCode>General</c:formatCode>
                <c:ptCount val="21"/>
                <c:pt idx="0">
                  <c:v>-1</c:v>
                </c:pt>
                <c:pt idx="1">
                  <c:v>-1.5690905050450483</c:v>
                </c:pt>
                <c:pt idx="2">
                  <c:v>-1.9845874989598937</c:v>
                </c:pt>
                <c:pt idx="3">
                  <c:v>-2.2058192410423683</c:v>
                </c:pt>
                <c:pt idx="4">
                  <c:v>-2.2111300269652547</c:v>
                </c:pt>
                <c:pt idx="5">
                  <c:v>-2</c:v>
                </c:pt>
                <c:pt idx="6">
                  <c:v>-1.5930960382153598</c:v>
                </c:pt>
                <c:pt idx="7">
                  <c:v>-1.030248736457422</c:v>
                </c:pt>
                <c:pt idx="8">
                  <c:v>-0.36655351020999916</c:v>
                </c:pt>
                <c:pt idx="9">
                  <c:v>0.33302252754525852</c:v>
                </c:pt>
                <c:pt idx="10">
                  <c:v>0.99999999999999978</c:v>
                </c:pt>
                <c:pt idx="11">
                  <c:v>1.5690905050450477</c:v>
                </c:pt>
                <c:pt idx="12">
                  <c:v>1.9845874989598937</c:v>
                </c:pt>
                <c:pt idx="13">
                  <c:v>2.2058192410423678</c:v>
                </c:pt>
                <c:pt idx="14">
                  <c:v>2.2111300269652547</c:v>
                </c:pt>
                <c:pt idx="15">
                  <c:v>2</c:v>
                </c:pt>
                <c:pt idx="16">
                  <c:v>1.5930960382153601</c:v>
                </c:pt>
                <c:pt idx="17">
                  <c:v>1.0302487364574222</c:v>
                </c:pt>
                <c:pt idx="18">
                  <c:v>0.36655351020999938</c:v>
                </c:pt>
                <c:pt idx="19">
                  <c:v>-0.3330225275452583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8C-4FB7-99A7-02356D7F9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</a:t>
            </a:r>
            <a:r>
              <a:rPr lang="en-US" altLang="ko-KR" baseline="0"/>
              <a:t> </a:t>
            </a:r>
            <a:r>
              <a:rPr lang="en-US" altLang="ko-KR"/>
              <a:t>SIN +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Sheet1!$A$50:$A$70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Sheet1!$H$50:$H$70</c:f>
              <c:numCache>
                <c:formatCode>General</c:formatCode>
                <c:ptCount val="21"/>
                <c:pt idx="0">
                  <c:v>1</c:v>
                </c:pt>
                <c:pt idx="1">
                  <c:v>0.64203952192020619</c:v>
                </c:pt>
                <c:pt idx="2">
                  <c:v>0.22123174208247431</c:v>
                </c:pt>
                <c:pt idx="3">
                  <c:v>-0.22123174208247431</c:v>
                </c:pt>
                <c:pt idx="4">
                  <c:v>-0.64203952192020608</c:v>
                </c:pt>
                <c:pt idx="5">
                  <c:v>-0.99999999999999989</c:v>
                </c:pt>
                <c:pt idx="6">
                  <c:v>-1.2600735106701011</c:v>
                </c:pt>
                <c:pt idx="7">
                  <c:v>-1.3968022466674204</c:v>
                </c:pt>
                <c:pt idx="8">
                  <c:v>-1.3968022466674206</c:v>
                </c:pt>
                <c:pt idx="9">
                  <c:v>-1.2600735106701011</c:v>
                </c:pt>
                <c:pt idx="10">
                  <c:v>-1.0000000000000002</c:v>
                </c:pt>
                <c:pt idx="11">
                  <c:v>-0.64203952192020686</c:v>
                </c:pt>
                <c:pt idx="12">
                  <c:v>-0.22123174208247454</c:v>
                </c:pt>
                <c:pt idx="13">
                  <c:v>0.22123174208247409</c:v>
                </c:pt>
                <c:pt idx="14">
                  <c:v>0.64203952192020597</c:v>
                </c:pt>
                <c:pt idx="15">
                  <c:v>0.99999999999999978</c:v>
                </c:pt>
                <c:pt idx="16">
                  <c:v>1.2600735106701009</c:v>
                </c:pt>
                <c:pt idx="17">
                  <c:v>1.3968022466674204</c:v>
                </c:pt>
                <c:pt idx="18">
                  <c:v>1.3968022466674208</c:v>
                </c:pt>
                <c:pt idx="19">
                  <c:v>1.2600735106701011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06-4065-B033-32A73411C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-SIN + 2*COS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Sheet1!$A$50:$A$70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Sheet1!$J$50:$J$70</c:f>
              <c:numCache>
                <c:formatCode>General</c:formatCode>
                <c:ptCount val="21"/>
                <c:pt idx="0">
                  <c:v>2</c:v>
                </c:pt>
                <c:pt idx="1">
                  <c:v>1.5930960382153596</c:v>
                </c:pt>
                <c:pt idx="2">
                  <c:v>1.0302487364574218</c:v>
                </c:pt>
                <c:pt idx="3">
                  <c:v>0.36655351020999882</c:v>
                </c:pt>
                <c:pt idx="4">
                  <c:v>-0.33302252754525863</c:v>
                </c:pt>
                <c:pt idx="5">
                  <c:v>-0.99999999999999989</c:v>
                </c:pt>
                <c:pt idx="6">
                  <c:v>-1.5690905050450483</c:v>
                </c:pt>
                <c:pt idx="7">
                  <c:v>-1.9845874989598935</c:v>
                </c:pt>
                <c:pt idx="8">
                  <c:v>-2.2058192410423678</c:v>
                </c:pt>
                <c:pt idx="9">
                  <c:v>-2.2111300269652547</c:v>
                </c:pt>
                <c:pt idx="10">
                  <c:v>-2</c:v>
                </c:pt>
                <c:pt idx="11">
                  <c:v>-1.5930960382153607</c:v>
                </c:pt>
                <c:pt idx="12">
                  <c:v>-1.030248736457422</c:v>
                </c:pt>
                <c:pt idx="13">
                  <c:v>-0.36655351020999916</c:v>
                </c:pt>
                <c:pt idx="14">
                  <c:v>0.33302252754525841</c:v>
                </c:pt>
                <c:pt idx="15">
                  <c:v>0.99999999999999967</c:v>
                </c:pt>
                <c:pt idx="16">
                  <c:v>1.5690905050450481</c:v>
                </c:pt>
                <c:pt idx="17">
                  <c:v>1.9845874989598933</c:v>
                </c:pt>
                <c:pt idx="18">
                  <c:v>2.2058192410423683</c:v>
                </c:pt>
                <c:pt idx="19">
                  <c:v>2.2111300269652547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31-4B33-AA4C-DBF98AE1E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- 2*SIN + 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Sheet1!$A$50:$A$70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Sheet1!$I$50:$I$70</c:f>
              <c:numCache>
                <c:formatCode>General</c:formatCode>
                <c:ptCount val="21"/>
                <c:pt idx="0">
                  <c:v>1</c:v>
                </c:pt>
                <c:pt idx="1">
                  <c:v>0.33302252754525874</c:v>
                </c:pt>
                <c:pt idx="2">
                  <c:v>-0.36655351020999882</c:v>
                </c:pt>
                <c:pt idx="3">
                  <c:v>-1.0302487364574218</c:v>
                </c:pt>
                <c:pt idx="4">
                  <c:v>-1.5930960382153596</c:v>
                </c:pt>
                <c:pt idx="5">
                  <c:v>-2</c:v>
                </c:pt>
                <c:pt idx="6">
                  <c:v>-2.2111300269652547</c:v>
                </c:pt>
                <c:pt idx="7">
                  <c:v>-2.2058192410423678</c:v>
                </c:pt>
                <c:pt idx="8">
                  <c:v>-1.9845874989598937</c:v>
                </c:pt>
                <c:pt idx="9">
                  <c:v>-1.5690905050450485</c:v>
                </c:pt>
                <c:pt idx="10">
                  <c:v>-1.0000000000000002</c:v>
                </c:pt>
                <c:pt idx="11">
                  <c:v>-0.33302252754525996</c:v>
                </c:pt>
                <c:pt idx="12">
                  <c:v>0.36655351020999849</c:v>
                </c:pt>
                <c:pt idx="13">
                  <c:v>1.0302487364574215</c:v>
                </c:pt>
                <c:pt idx="14">
                  <c:v>1.5930960382153594</c:v>
                </c:pt>
                <c:pt idx="15">
                  <c:v>1.9999999999999998</c:v>
                </c:pt>
                <c:pt idx="16">
                  <c:v>2.2111300269652547</c:v>
                </c:pt>
                <c:pt idx="17">
                  <c:v>2.2058192410423683</c:v>
                </c:pt>
                <c:pt idx="18">
                  <c:v>1.9845874989598942</c:v>
                </c:pt>
                <c:pt idx="19">
                  <c:v>1.5690905050450488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95-43CC-8FD2-B44FFD71A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- 2*SIN + 2*COS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Sheet1!$A$50:$A$70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Sheet1!$K$50:$K$70</c:f>
              <c:numCache>
                <c:formatCode>General</c:formatCode>
                <c:ptCount val="21"/>
                <c:pt idx="0">
                  <c:v>2</c:v>
                </c:pt>
                <c:pt idx="1">
                  <c:v>1.2840790438404124</c:v>
                </c:pt>
                <c:pt idx="2">
                  <c:v>0.44246348416494863</c:v>
                </c:pt>
                <c:pt idx="3">
                  <c:v>-0.44246348416494863</c:v>
                </c:pt>
                <c:pt idx="4">
                  <c:v>-1.2840790438404122</c:v>
                </c:pt>
                <c:pt idx="5">
                  <c:v>-1.9999999999999998</c:v>
                </c:pt>
                <c:pt idx="6">
                  <c:v>-2.5201470213402022</c:v>
                </c:pt>
                <c:pt idx="7">
                  <c:v>-2.7936044933348407</c:v>
                </c:pt>
                <c:pt idx="8">
                  <c:v>-2.7936044933348412</c:v>
                </c:pt>
                <c:pt idx="9">
                  <c:v>-2.5201470213402022</c:v>
                </c:pt>
                <c:pt idx="10">
                  <c:v>-2.0000000000000004</c:v>
                </c:pt>
                <c:pt idx="11">
                  <c:v>-1.2840790438404137</c:v>
                </c:pt>
                <c:pt idx="12">
                  <c:v>-0.44246348416494907</c:v>
                </c:pt>
                <c:pt idx="13">
                  <c:v>0.44246348416494818</c:v>
                </c:pt>
                <c:pt idx="14">
                  <c:v>1.2840790438404119</c:v>
                </c:pt>
                <c:pt idx="15">
                  <c:v>1.9999999999999996</c:v>
                </c:pt>
                <c:pt idx="16">
                  <c:v>2.5201470213402017</c:v>
                </c:pt>
                <c:pt idx="17">
                  <c:v>2.7936044933348407</c:v>
                </c:pt>
                <c:pt idx="18">
                  <c:v>2.7936044933348416</c:v>
                </c:pt>
                <c:pt idx="19">
                  <c:v>2.5201470213402022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25-411D-BB1A-1D53EC28F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078112"/>
        <c:axId val="457060912"/>
      </c:scatterChart>
      <c:valAx>
        <c:axId val="54807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7060912"/>
        <c:crosses val="autoZero"/>
        <c:crossBetween val="midCat"/>
      </c:valAx>
      <c:valAx>
        <c:axId val="457060912"/>
        <c:scaling>
          <c:orientation val="minMax"/>
          <c:max val="4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807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Sheet1!$C$27:$C$47</c:f>
              <c:numCache>
                <c:formatCode>General</c:formatCode>
                <c:ptCount val="21"/>
                <c:pt idx="0">
                  <c:v>-1</c:v>
                </c:pt>
                <c:pt idx="1">
                  <c:v>-0.64203952192020619</c:v>
                </c:pt>
                <c:pt idx="2">
                  <c:v>-0.22123174208247431</c:v>
                </c:pt>
                <c:pt idx="3">
                  <c:v>0.22123174208247431</c:v>
                </c:pt>
                <c:pt idx="4">
                  <c:v>0.64203952192020608</c:v>
                </c:pt>
                <c:pt idx="5">
                  <c:v>0.99999999999999989</c:v>
                </c:pt>
                <c:pt idx="6">
                  <c:v>1.2600735106701011</c:v>
                </c:pt>
                <c:pt idx="7">
                  <c:v>1.3968022466674204</c:v>
                </c:pt>
                <c:pt idx="8">
                  <c:v>1.3968022466674206</c:v>
                </c:pt>
                <c:pt idx="9">
                  <c:v>1.2600735106701011</c:v>
                </c:pt>
                <c:pt idx="10">
                  <c:v>1.0000000000000002</c:v>
                </c:pt>
                <c:pt idx="11">
                  <c:v>0.64203952192020686</c:v>
                </c:pt>
                <c:pt idx="12">
                  <c:v>0.22123174208247454</c:v>
                </c:pt>
                <c:pt idx="13">
                  <c:v>-0.22123174208247409</c:v>
                </c:pt>
                <c:pt idx="14">
                  <c:v>-0.64203952192020597</c:v>
                </c:pt>
                <c:pt idx="15">
                  <c:v>-0.99999999999999978</c:v>
                </c:pt>
                <c:pt idx="16">
                  <c:v>-1.2600735106701009</c:v>
                </c:pt>
                <c:pt idx="17">
                  <c:v>-1.3968022466674204</c:v>
                </c:pt>
                <c:pt idx="18">
                  <c:v>-1.3968022466674208</c:v>
                </c:pt>
                <c:pt idx="19">
                  <c:v>-1.2600735106701011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30-42DA-9BCC-672AD77D172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Sheet1!$D$27:$D$47</c:f>
              <c:numCache>
                <c:formatCode>General</c:formatCode>
                <c:ptCount val="21"/>
                <c:pt idx="0">
                  <c:v>-1</c:v>
                </c:pt>
                <c:pt idx="1">
                  <c:v>-0.33302252754525874</c:v>
                </c:pt>
                <c:pt idx="2">
                  <c:v>0.36655351020999882</c:v>
                </c:pt>
                <c:pt idx="3">
                  <c:v>1.0302487364574218</c:v>
                </c:pt>
                <c:pt idx="4">
                  <c:v>1.5930960382153596</c:v>
                </c:pt>
                <c:pt idx="5">
                  <c:v>2</c:v>
                </c:pt>
                <c:pt idx="6">
                  <c:v>2.2111300269652547</c:v>
                </c:pt>
                <c:pt idx="7">
                  <c:v>2.2058192410423678</c:v>
                </c:pt>
                <c:pt idx="8">
                  <c:v>1.9845874989598937</c:v>
                </c:pt>
                <c:pt idx="9">
                  <c:v>1.5690905050450485</c:v>
                </c:pt>
                <c:pt idx="10">
                  <c:v>1.0000000000000002</c:v>
                </c:pt>
                <c:pt idx="11">
                  <c:v>0.33302252754525996</c:v>
                </c:pt>
                <c:pt idx="12">
                  <c:v>-0.36655351020999849</c:v>
                </c:pt>
                <c:pt idx="13">
                  <c:v>-1.0302487364574215</c:v>
                </c:pt>
                <c:pt idx="14">
                  <c:v>-1.5930960382153594</c:v>
                </c:pt>
                <c:pt idx="15">
                  <c:v>-1.9999999999999998</c:v>
                </c:pt>
                <c:pt idx="16">
                  <c:v>-2.2111300269652547</c:v>
                </c:pt>
                <c:pt idx="17">
                  <c:v>-2.2058192410423683</c:v>
                </c:pt>
                <c:pt idx="18">
                  <c:v>-1.9845874989598942</c:v>
                </c:pt>
                <c:pt idx="19">
                  <c:v>-1.5690905050450488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30-42DA-9BCC-672AD77D172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Sheet1!$E$27:$E$47</c:f>
              <c:numCache>
                <c:formatCode>General</c:formatCode>
                <c:ptCount val="21"/>
                <c:pt idx="0">
                  <c:v>-2</c:v>
                </c:pt>
                <c:pt idx="1">
                  <c:v>-1.5930960382153596</c:v>
                </c:pt>
                <c:pt idx="2">
                  <c:v>-1.0302487364574218</c:v>
                </c:pt>
                <c:pt idx="3">
                  <c:v>-0.36655351020999882</c:v>
                </c:pt>
                <c:pt idx="4">
                  <c:v>0.33302252754525863</c:v>
                </c:pt>
                <c:pt idx="5">
                  <c:v>0.99999999999999989</c:v>
                </c:pt>
                <c:pt idx="6">
                  <c:v>1.5690905050450483</c:v>
                </c:pt>
                <c:pt idx="7">
                  <c:v>1.9845874989598935</c:v>
                </c:pt>
                <c:pt idx="8">
                  <c:v>2.2058192410423678</c:v>
                </c:pt>
                <c:pt idx="9">
                  <c:v>2.2111300269652547</c:v>
                </c:pt>
                <c:pt idx="10">
                  <c:v>2</c:v>
                </c:pt>
                <c:pt idx="11">
                  <c:v>1.5930960382153607</c:v>
                </c:pt>
                <c:pt idx="12">
                  <c:v>1.030248736457422</c:v>
                </c:pt>
                <c:pt idx="13">
                  <c:v>0.36655351020999916</c:v>
                </c:pt>
                <c:pt idx="14">
                  <c:v>-0.33302252754525841</c:v>
                </c:pt>
                <c:pt idx="15">
                  <c:v>-0.99999999999999967</c:v>
                </c:pt>
                <c:pt idx="16">
                  <c:v>-1.5690905050450481</c:v>
                </c:pt>
                <c:pt idx="17">
                  <c:v>-1.9845874989598933</c:v>
                </c:pt>
                <c:pt idx="18">
                  <c:v>-2.2058192410423683</c:v>
                </c:pt>
                <c:pt idx="19">
                  <c:v>-2.2111300269652547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30-42DA-9BCC-672AD77D172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Sheet1!$F$27:$F$47</c:f>
              <c:numCache>
                <c:formatCode>General</c:formatCode>
                <c:ptCount val="21"/>
                <c:pt idx="0">
                  <c:v>-2</c:v>
                </c:pt>
                <c:pt idx="1">
                  <c:v>-1.2840790438404124</c:v>
                </c:pt>
                <c:pt idx="2">
                  <c:v>-0.44246348416494863</c:v>
                </c:pt>
                <c:pt idx="3">
                  <c:v>0.44246348416494863</c:v>
                </c:pt>
                <c:pt idx="4">
                  <c:v>1.2840790438404122</c:v>
                </c:pt>
                <c:pt idx="5">
                  <c:v>1.9999999999999998</c:v>
                </c:pt>
                <c:pt idx="6">
                  <c:v>2.5201470213402022</c:v>
                </c:pt>
                <c:pt idx="7">
                  <c:v>2.7936044933348407</c:v>
                </c:pt>
                <c:pt idx="8">
                  <c:v>2.7936044933348412</c:v>
                </c:pt>
                <c:pt idx="9">
                  <c:v>2.5201470213402022</c:v>
                </c:pt>
                <c:pt idx="10">
                  <c:v>2.0000000000000004</c:v>
                </c:pt>
                <c:pt idx="11">
                  <c:v>1.2840790438404137</c:v>
                </c:pt>
                <c:pt idx="12">
                  <c:v>0.44246348416494907</c:v>
                </c:pt>
                <c:pt idx="13">
                  <c:v>-0.44246348416494818</c:v>
                </c:pt>
                <c:pt idx="14">
                  <c:v>-1.2840790438404119</c:v>
                </c:pt>
                <c:pt idx="15">
                  <c:v>-1.9999999999999996</c:v>
                </c:pt>
                <c:pt idx="16">
                  <c:v>-2.5201470213402017</c:v>
                </c:pt>
                <c:pt idx="17">
                  <c:v>-2.7936044933348407</c:v>
                </c:pt>
                <c:pt idx="18">
                  <c:v>-2.7936044933348416</c:v>
                </c:pt>
                <c:pt idx="19">
                  <c:v>-2.5201470213402022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30-42DA-9BCC-672AD77D172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Sheet1!$H$27:$H$47</c:f>
              <c:numCache>
                <c:formatCode>General</c:formatCode>
                <c:ptCount val="21"/>
                <c:pt idx="0">
                  <c:v>1</c:v>
                </c:pt>
                <c:pt idx="1">
                  <c:v>1.2600735106701009</c:v>
                </c:pt>
                <c:pt idx="2">
                  <c:v>1.3968022466674206</c:v>
                </c:pt>
                <c:pt idx="3">
                  <c:v>1.3968022466674206</c:v>
                </c:pt>
                <c:pt idx="4">
                  <c:v>1.2600735106701011</c:v>
                </c:pt>
                <c:pt idx="5">
                  <c:v>1</c:v>
                </c:pt>
                <c:pt idx="6">
                  <c:v>0.6420395219202063</c:v>
                </c:pt>
                <c:pt idx="7">
                  <c:v>0.22123174208247443</c:v>
                </c:pt>
                <c:pt idx="8">
                  <c:v>-0.22123174208247409</c:v>
                </c:pt>
                <c:pt idx="9">
                  <c:v>-0.64203952192020597</c:v>
                </c:pt>
                <c:pt idx="10">
                  <c:v>-0.99999999999999989</c:v>
                </c:pt>
                <c:pt idx="11">
                  <c:v>-1.2600735106701006</c:v>
                </c:pt>
                <c:pt idx="12">
                  <c:v>-1.3968022466674206</c:v>
                </c:pt>
                <c:pt idx="13">
                  <c:v>-1.3968022466674206</c:v>
                </c:pt>
                <c:pt idx="14">
                  <c:v>-1.2600735106701011</c:v>
                </c:pt>
                <c:pt idx="15">
                  <c:v>-1.0000000000000002</c:v>
                </c:pt>
                <c:pt idx="16">
                  <c:v>-0.64203952192020641</c:v>
                </c:pt>
                <c:pt idx="17">
                  <c:v>-0.22123174208247465</c:v>
                </c:pt>
                <c:pt idx="18">
                  <c:v>0.22123174208247398</c:v>
                </c:pt>
                <c:pt idx="19">
                  <c:v>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30-42DA-9BCC-672AD77D172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Sheet1!$I$27:$I$47</c:f>
              <c:numCache>
                <c:formatCode>General</c:formatCode>
                <c:ptCount val="21"/>
                <c:pt idx="0">
                  <c:v>1</c:v>
                </c:pt>
                <c:pt idx="1">
                  <c:v>1.5690905050450483</c:v>
                </c:pt>
                <c:pt idx="2">
                  <c:v>1.9845874989598937</c:v>
                </c:pt>
                <c:pt idx="3">
                  <c:v>2.2058192410423683</c:v>
                </c:pt>
                <c:pt idx="4">
                  <c:v>2.2111300269652547</c:v>
                </c:pt>
                <c:pt idx="5">
                  <c:v>2</c:v>
                </c:pt>
                <c:pt idx="6">
                  <c:v>1.5930960382153598</c:v>
                </c:pt>
                <c:pt idx="7">
                  <c:v>1.030248736457422</c:v>
                </c:pt>
                <c:pt idx="8">
                  <c:v>0.36655351020999916</c:v>
                </c:pt>
                <c:pt idx="9">
                  <c:v>-0.33302252754525852</c:v>
                </c:pt>
                <c:pt idx="10">
                  <c:v>-0.99999999999999978</c:v>
                </c:pt>
                <c:pt idx="11">
                  <c:v>-1.5690905050450477</c:v>
                </c:pt>
                <c:pt idx="12">
                  <c:v>-1.9845874989598937</c:v>
                </c:pt>
                <c:pt idx="13">
                  <c:v>-2.2058192410423678</c:v>
                </c:pt>
                <c:pt idx="14">
                  <c:v>-2.2111300269652547</c:v>
                </c:pt>
                <c:pt idx="15">
                  <c:v>-2</c:v>
                </c:pt>
                <c:pt idx="16">
                  <c:v>-1.5930960382153601</c:v>
                </c:pt>
                <c:pt idx="17">
                  <c:v>-1.0302487364574222</c:v>
                </c:pt>
                <c:pt idx="18">
                  <c:v>-0.36655351020999938</c:v>
                </c:pt>
                <c:pt idx="19">
                  <c:v>0.3330225275452583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530-42DA-9BCC-672AD77D172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Sheet1!$J$27:$J$47</c:f>
              <c:numCache>
                <c:formatCode>General</c:formatCode>
                <c:ptCount val="21"/>
                <c:pt idx="0">
                  <c:v>2</c:v>
                </c:pt>
                <c:pt idx="1">
                  <c:v>2.2111300269652543</c:v>
                </c:pt>
                <c:pt idx="2">
                  <c:v>2.2058192410423683</c:v>
                </c:pt>
                <c:pt idx="3">
                  <c:v>1.9845874989598937</c:v>
                </c:pt>
                <c:pt idx="4">
                  <c:v>1.5690905050450485</c:v>
                </c:pt>
                <c:pt idx="5">
                  <c:v>1.0000000000000002</c:v>
                </c:pt>
                <c:pt idx="6">
                  <c:v>0.33302252754525896</c:v>
                </c:pt>
                <c:pt idx="7">
                  <c:v>-0.3665535102099986</c:v>
                </c:pt>
                <c:pt idx="8">
                  <c:v>-1.0302487364574215</c:v>
                </c:pt>
                <c:pt idx="9">
                  <c:v>-1.5930960382153596</c:v>
                </c:pt>
                <c:pt idx="10">
                  <c:v>-1.9999999999999998</c:v>
                </c:pt>
                <c:pt idx="11">
                  <c:v>-2.2111300269652543</c:v>
                </c:pt>
                <c:pt idx="12">
                  <c:v>-2.2058192410423683</c:v>
                </c:pt>
                <c:pt idx="13">
                  <c:v>-1.9845874989598937</c:v>
                </c:pt>
                <c:pt idx="14">
                  <c:v>-1.5690905050450485</c:v>
                </c:pt>
                <c:pt idx="15">
                  <c:v>-1.0000000000000004</c:v>
                </c:pt>
                <c:pt idx="16">
                  <c:v>-0.33302252754525918</c:v>
                </c:pt>
                <c:pt idx="17">
                  <c:v>0.36655351020999827</c:v>
                </c:pt>
                <c:pt idx="18">
                  <c:v>1.0302487364574213</c:v>
                </c:pt>
                <c:pt idx="19">
                  <c:v>1.5930960382153594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530-42DA-9BCC-672AD77D1722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Sheet1!$K$27:$K$47</c:f>
              <c:numCache>
                <c:formatCode>General</c:formatCode>
                <c:ptCount val="21"/>
                <c:pt idx="0">
                  <c:v>2</c:v>
                </c:pt>
                <c:pt idx="1">
                  <c:v>2.5201470213402017</c:v>
                </c:pt>
                <c:pt idx="2">
                  <c:v>2.7936044933348412</c:v>
                </c:pt>
                <c:pt idx="3">
                  <c:v>2.7936044933348412</c:v>
                </c:pt>
                <c:pt idx="4">
                  <c:v>2.5201470213402022</c:v>
                </c:pt>
                <c:pt idx="5">
                  <c:v>2</c:v>
                </c:pt>
                <c:pt idx="6">
                  <c:v>1.2840790438404126</c:v>
                </c:pt>
                <c:pt idx="7">
                  <c:v>0.44246348416494885</c:v>
                </c:pt>
                <c:pt idx="8">
                  <c:v>-0.44246348416494818</c:v>
                </c:pt>
                <c:pt idx="9">
                  <c:v>-1.2840790438404119</c:v>
                </c:pt>
                <c:pt idx="10">
                  <c:v>-1.9999999999999998</c:v>
                </c:pt>
                <c:pt idx="11">
                  <c:v>-2.5201470213402013</c:v>
                </c:pt>
                <c:pt idx="12">
                  <c:v>-2.7936044933348412</c:v>
                </c:pt>
                <c:pt idx="13">
                  <c:v>-2.7936044933348412</c:v>
                </c:pt>
                <c:pt idx="14">
                  <c:v>-2.5201470213402022</c:v>
                </c:pt>
                <c:pt idx="15">
                  <c:v>-2.0000000000000004</c:v>
                </c:pt>
                <c:pt idx="16">
                  <c:v>-1.2840790438404128</c:v>
                </c:pt>
                <c:pt idx="17">
                  <c:v>-0.44246348416494929</c:v>
                </c:pt>
                <c:pt idx="18">
                  <c:v>0.44246348416494796</c:v>
                </c:pt>
                <c:pt idx="19">
                  <c:v>1.2840790438404119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530-42DA-9BCC-672AD77D1722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Sheet1!$C$50:$C$70</c:f>
              <c:numCache>
                <c:formatCode>General</c:formatCode>
                <c:ptCount val="21"/>
                <c:pt idx="0">
                  <c:v>-1</c:v>
                </c:pt>
                <c:pt idx="1">
                  <c:v>-1.2600735106701009</c:v>
                </c:pt>
                <c:pt idx="2">
                  <c:v>-1.3968022466674206</c:v>
                </c:pt>
                <c:pt idx="3">
                  <c:v>-1.3968022466674206</c:v>
                </c:pt>
                <c:pt idx="4">
                  <c:v>-1.2600735106701011</c:v>
                </c:pt>
                <c:pt idx="5">
                  <c:v>-1</c:v>
                </c:pt>
                <c:pt idx="6">
                  <c:v>-0.6420395219202063</c:v>
                </c:pt>
                <c:pt idx="7">
                  <c:v>-0.22123174208247443</c:v>
                </c:pt>
                <c:pt idx="8">
                  <c:v>0.22123174208247409</c:v>
                </c:pt>
                <c:pt idx="9">
                  <c:v>0.64203952192020597</c:v>
                </c:pt>
                <c:pt idx="10">
                  <c:v>0.99999999999999989</c:v>
                </c:pt>
                <c:pt idx="11">
                  <c:v>1.2600735106701006</c:v>
                </c:pt>
                <c:pt idx="12">
                  <c:v>1.3968022466674206</c:v>
                </c:pt>
                <c:pt idx="13">
                  <c:v>1.3968022466674206</c:v>
                </c:pt>
                <c:pt idx="14">
                  <c:v>1.2600735106701011</c:v>
                </c:pt>
                <c:pt idx="15">
                  <c:v>1.0000000000000002</c:v>
                </c:pt>
                <c:pt idx="16">
                  <c:v>0.64203952192020641</c:v>
                </c:pt>
                <c:pt idx="17">
                  <c:v>0.22123174208247465</c:v>
                </c:pt>
                <c:pt idx="18">
                  <c:v>-0.22123174208247398</c:v>
                </c:pt>
                <c:pt idx="19">
                  <c:v>-0.64203952192020597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530-42DA-9BCC-672AD77D1722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Sheet1!$D$50:$D$70</c:f>
              <c:numCache>
                <c:formatCode>General</c:formatCode>
                <c:ptCount val="21"/>
                <c:pt idx="0">
                  <c:v>-1</c:v>
                </c:pt>
                <c:pt idx="1">
                  <c:v>-1.5690905050450483</c:v>
                </c:pt>
                <c:pt idx="2">
                  <c:v>-1.9845874989598937</c:v>
                </c:pt>
                <c:pt idx="3">
                  <c:v>-2.2058192410423683</c:v>
                </c:pt>
                <c:pt idx="4">
                  <c:v>-2.2111300269652547</c:v>
                </c:pt>
                <c:pt idx="5">
                  <c:v>-2</c:v>
                </c:pt>
                <c:pt idx="6">
                  <c:v>-1.5930960382153598</c:v>
                </c:pt>
                <c:pt idx="7">
                  <c:v>-1.030248736457422</c:v>
                </c:pt>
                <c:pt idx="8">
                  <c:v>-0.36655351020999916</c:v>
                </c:pt>
                <c:pt idx="9">
                  <c:v>0.33302252754525852</c:v>
                </c:pt>
                <c:pt idx="10">
                  <c:v>0.99999999999999978</c:v>
                </c:pt>
                <c:pt idx="11">
                  <c:v>1.5690905050450477</c:v>
                </c:pt>
                <c:pt idx="12">
                  <c:v>1.9845874989598937</c:v>
                </c:pt>
                <c:pt idx="13">
                  <c:v>2.2058192410423678</c:v>
                </c:pt>
                <c:pt idx="14">
                  <c:v>2.2111300269652547</c:v>
                </c:pt>
                <c:pt idx="15">
                  <c:v>2</c:v>
                </c:pt>
                <c:pt idx="16">
                  <c:v>1.5930960382153601</c:v>
                </c:pt>
                <c:pt idx="17">
                  <c:v>1.0302487364574222</c:v>
                </c:pt>
                <c:pt idx="18">
                  <c:v>0.36655351020999938</c:v>
                </c:pt>
                <c:pt idx="19">
                  <c:v>-0.3330225275452583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530-42DA-9BCC-672AD77D1722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Sheet1!$E$50:$E$70</c:f>
              <c:numCache>
                <c:formatCode>General</c:formatCode>
                <c:ptCount val="21"/>
                <c:pt idx="0">
                  <c:v>-2</c:v>
                </c:pt>
                <c:pt idx="1">
                  <c:v>-2.2111300269652543</c:v>
                </c:pt>
                <c:pt idx="2">
                  <c:v>-2.2058192410423683</c:v>
                </c:pt>
                <c:pt idx="3">
                  <c:v>-1.9845874989598937</c:v>
                </c:pt>
                <c:pt idx="4">
                  <c:v>-1.5690905050450485</c:v>
                </c:pt>
                <c:pt idx="5">
                  <c:v>-1.0000000000000002</c:v>
                </c:pt>
                <c:pt idx="6">
                  <c:v>-0.33302252754525896</c:v>
                </c:pt>
                <c:pt idx="7">
                  <c:v>0.3665535102099986</c:v>
                </c:pt>
                <c:pt idx="8">
                  <c:v>1.0302487364574215</c:v>
                </c:pt>
                <c:pt idx="9">
                  <c:v>1.5930960382153596</c:v>
                </c:pt>
                <c:pt idx="10">
                  <c:v>1.9999999999999998</c:v>
                </c:pt>
                <c:pt idx="11">
                  <c:v>2.2111300269652543</c:v>
                </c:pt>
                <c:pt idx="12">
                  <c:v>2.2058192410423683</c:v>
                </c:pt>
                <c:pt idx="13">
                  <c:v>1.9845874989598937</c:v>
                </c:pt>
                <c:pt idx="14">
                  <c:v>1.5690905050450485</c:v>
                </c:pt>
                <c:pt idx="15">
                  <c:v>1.0000000000000004</c:v>
                </c:pt>
                <c:pt idx="16">
                  <c:v>0.33302252754525918</c:v>
                </c:pt>
                <c:pt idx="17">
                  <c:v>-0.36655351020999827</c:v>
                </c:pt>
                <c:pt idx="18">
                  <c:v>-1.0302487364574213</c:v>
                </c:pt>
                <c:pt idx="19">
                  <c:v>-1.5930960382153594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530-42DA-9BCC-672AD77D1722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Sheet1!$F$50:$F$70</c:f>
              <c:numCache>
                <c:formatCode>General</c:formatCode>
                <c:ptCount val="21"/>
                <c:pt idx="0">
                  <c:v>-2</c:v>
                </c:pt>
                <c:pt idx="1">
                  <c:v>-2.5201470213402017</c:v>
                </c:pt>
                <c:pt idx="2">
                  <c:v>-2.7936044933348412</c:v>
                </c:pt>
                <c:pt idx="3">
                  <c:v>-2.7936044933348412</c:v>
                </c:pt>
                <c:pt idx="4">
                  <c:v>-2.5201470213402022</c:v>
                </c:pt>
                <c:pt idx="5">
                  <c:v>-2</c:v>
                </c:pt>
                <c:pt idx="6">
                  <c:v>-1.2840790438404126</c:v>
                </c:pt>
                <c:pt idx="7">
                  <c:v>-0.44246348416494885</c:v>
                </c:pt>
                <c:pt idx="8">
                  <c:v>0.44246348416494818</c:v>
                </c:pt>
                <c:pt idx="9">
                  <c:v>1.2840790438404119</c:v>
                </c:pt>
                <c:pt idx="10">
                  <c:v>1.9999999999999998</c:v>
                </c:pt>
                <c:pt idx="11">
                  <c:v>2.5201470213402013</c:v>
                </c:pt>
                <c:pt idx="12">
                  <c:v>2.7936044933348412</c:v>
                </c:pt>
                <c:pt idx="13">
                  <c:v>2.7936044933348412</c:v>
                </c:pt>
                <c:pt idx="14">
                  <c:v>2.5201470213402022</c:v>
                </c:pt>
                <c:pt idx="15">
                  <c:v>2.0000000000000004</c:v>
                </c:pt>
                <c:pt idx="16">
                  <c:v>1.2840790438404128</c:v>
                </c:pt>
                <c:pt idx="17">
                  <c:v>0.44246348416494929</c:v>
                </c:pt>
                <c:pt idx="18">
                  <c:v>-0.44246348416494796</c:v>
                </c:pt>
                <c:pt idx="19">
                  <c:v>-1.2840790438404119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530-42DA-9BCC-672AD77D1722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Sheet1!$H$50:$H$70</c:f>
              <c:numCache>
                <c:formatCode>General</c:formatCode>
                <c:ptCount val="21"/>
                <c:pt idx="0">
                  <c:v>1</c:v>
                </c:pt>
                <c:pt idx="1">
                  <c:v>0.64203952192020619</c:v>
                </c:pt>
                <c:pt idx="2">
                  <c:v>0.22123174208247431</c:v>
                </c:pt>
                <c:pt idx="3">
                  <c:v>-0.22123174208247431</c:v>
                </c:pt>
                <c:pt idx="4">
                  <c:v>-0.64203952192020608</c:v>
                </c:pt>
                <c:pt idx="5">
                  <c:v>-0.99999999999999989</c:v>
                </c:pt>
                <c:pt idx="6">
                  <c:v>-1.2600735106701011</c:v>
                </c:pt>
                <c:pt idx="7">
                  <c:v>-1.3968022466674204</c:v>
                </c:pt>
                <c:pt idx="8">
                  <c:v>-1.3968022466674206</c:v>
                </c:pt>
                <c:pt idx="9">
                  <c:v>-1.2600735106701011</c:v>
                </c:pt>
                <c:pt idx="10">
                  <c:v>-1.0000000000000002</c:v>
                </c:pt>
                <c:pt idx="11">
                  <c:v>-0.64203952192020686</c:v>
                </c:pt>
                <c:pt idx="12">
                  <c:v>-0.22123174208247454</c:v>
                </c:pt>
                <c:pt idx="13">
                  <c:v>0.22123174208247409</c:v>
                </c:pt>
                <c:pt idx="14">
                  <c:v>0.64203952192020597</c:v>
                </c:pt>
                <c:pt idx="15">
                  <c:v>0.99999999999999978</c:v>
                </c:pt>
                <c:pt idx="16">
                  <c:v>1.2600735106701009</c:v>
                </c:pt>
                <c:pt idx="17">
                  <c:v>1.3968022466674204</c:v>
                </c:pt>
                <c:pt idx="18">
                  <c:v>1.3968022466674208</c:v>
                </c:pt>
                <c:pt idx="19">
                  <c:v>1.2600735106701011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530-42DA-9BCC-672AD77D1722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Sheet1!$I$50:$I$70</c:f>
              <c:numCache>
                <c:formatCode>General</c:formatCode>
                <c:ptCount val="21"/>
                <c:pt idx="0">
                  <c:v>1</c:v>
                </c:pt>
                <c:pt idx="1">
                  <c:v>0.33302252754525874</c:v>
                </c:pt>
                <c:pt idx="2">
                  <c:v>-0.36655351020999882</c:v>
                </c:pt>
                <c:pt idx="3">
                  <c:v>-1.0302487364574218</c:v>
                </c:pt>
                <c:pt idx="4">
                  <c:v>-1.5930960382153596</c:v>
                </c:pt>
                <c:pt idx="5">
                  <c:v>-2</c:v>
                </c:pt>
                <c:pt idx="6">
                  <c:v>-2.2111300269652547</c:v>
                </c:pt>
                <c:pt idx="7">
                  <c:v>-2.2058192410423678</c:v>
                </c:pt>
                <c:pt idx="8">
                  <c:v>-1.9845874989598937</c:v>
                </c:pt>
                <c:pt idx="9">
                  <c:v>-1.5690905050450485</c:v>
                </c:pt>
                <c:pt idx="10">
                  <c:v>-1.0000000000000002</c:v>
                </c:pt>
                <c:pt idx="11">
                  <c:v>-0.33302252754525996</c:v>
                </c:pt>
                <c:pt idx="12">
                  <c:v>0.36655351020999849</c:v>
                </c:pt>
                <c:pt idx="13">
                  <c:v>1.0302487364574215</c:v>
                </c:pt>
                <c:pt idx="14">
                  <c:v>1.5930960382153594</c:v>
                </c:pt>
                <c:pt idx="15">
                  <c:v>1.9999999999999998</c:v>
                </c:pt>
                <c:pt idx="16">
                  <c:v>2.2111300269652547</c:v>
                </c:pt>
                <c:pt idx="17">
                  <c:v>2.2058192410423683</c:v>
                </c:pt>
                <c:pt idx="18">
                  <c:v>1.9845874989598942</c:v>
                </c:pt>
                <c:pt idx="19">
                  <c:v>1.5690905050450488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530-42DA-9BCC-672AD77D1722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Sheet1!$J$50:$J$70</c:f>
              <c:numCache>
                <c:formatCode>General</c:formatCode>
                <c:ptCount val="21"/>
                <c:pt idx="0">
                  <c:v>2</c:v>
                </c:pt>
                <c:pt idx="1">
                  <c:v>1.5930960382153596</c:v>
                </c:pt>
                <c:pt idx="2">
                  <c:v>1.0302487364574218</c:v>
                </c:pt>
                <c:pt idx="3">
                  <c:v>0.36655351020999882</c:v>
                </c:pt>
                <c:pt idx="4">
                  <c:v>-0.33302252754525863</c:v>
                </c:pt>
                <c:pt idx="5">
                  <c:v>-0.99999999999999989</c:v>
                </c:pt>
                <c:pt idx="6">
                  <c:v>-1.5690905050450483</c:v>
                </c:pt>
                <c:pt idx="7">
                  <c:v>-1.9845874989598935</c:v>
                </c:pt>
                <c:pt idx="8">
                  <c:v>-2.2058192410423678</c:v>
                </c:pt>
                <c:pt idx="9">
                  <c:v>-2.2111300269652547</c:v>
                </c:pt>
                <c:pt idx="10">
                  <c:v>-2</c:v>
                </c:pt>
                <c:pt idx="11">
                  <c:v>-1.5930960382153607</c:v>
                </c:pt>
                <c:pt idx="12">
                  <c:v>-1.030248736457422</c:v>
                </c:pt>
                <c:pt idx="13">
                  <c:v>-0.36655351020999916</c:v>
                </c:pt>
                <c:pt idx="14">
                  <c:v>0.33302252754525841</c:v>
                </c:pt>
                <c:pt idx="15">
                  <c:v>0.99999999999999967</c:v>
                </c:pt>
                <c:pt idx="16">
                  <c:v>1.5690905050450481</c:v>
                </c:pt>
                <c:pt idx="17">
                  <c:v>1.9845874989598933</c:v>
                </c:pt>
                <c:pt idx="18">
                  <c:v>2.2058192410423683</c:v>
                </c:pt>
                <c:pt idx="19">
                  <c:v>2.2111300269652547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530-42DA-9BCC-672AD77D1722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Sheet1!$A$27:$A$47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Sheet1!$K$50:$K$70</c:f>
              <c:numCache>
                <c:formatCode>General</c:formatCode>
                <c:ptCount val="21"/>
                <c:pt idx="0">
                  <c:v>2</c:v>
                </c:pt>
                <c:pt idx="1">
                  <c:v>1.2840790438404124</c:v>
                </c:pt>
                <c:pt idx="2">
                  <c:v>0.44246348416494863</c:v>
                </c:pt>
                <c:pt idx="3">
                  <c:v>-0.44246348416494863</c:v>
                </c:pt>
                <c:pt idx="4">
                  <c:v>-1.2840790438404122</c:v>
                </c:pt>
                <c:pt idx="5">
                  <c:v>-1.9999999999999998</c:v>
                </c:pt>
                <c:pt idx="6">
                  <c:v>-2.5201470213402022</c:v>
                </c:pt>
                <c:pt idx="7">
                  <c:v>-2.7936044933348407</c:v>
                </c:pt>
                <c:pt idx="8">
                  <c:v>-2.7936044933348412</c:v>
                </c:pt>
                <c:pt idx="9">
                  <c:v>-2.5201470213402022</c:v>
                </c:pt>
                <c:pt idx="10">
                  <c:v>-2.0000000000000004</c:v>
                </c:pt>
                <c:pt idx="11">
                  <c:v>-1.2840790438404137</c:v>
                </c:pt>
                <c:pt idx="12">
                  <c:v>-0.44246348416494907</c:v>
                </c:pt>
                <c:pt idx="13">
                  <c:v>0.44246348416494818</c:v>
                </c:pt>
                <c:pt idx="14">
                  <c:v>1.2840790438404119</c:v>
                </c:pt>
                <c:pt idx="15">
                  <c:v>1.9999999999999996</c:v>
                </c:pt>
                <c:pt idx="16">
                  <c:v>2.5201470213402017</c:v>
                </c:pt>
                <c:pt idx="17">
                  <c:v>2.7936044933348407</c:v>
                </c:pt>
                <c:pt idx="18">
                  <c:v>2.7936044933348416</c:v>
                </c:pt>
                <c:pt idx="19">
                  <c:v>2.5201470213402022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530-42DA-9BCC-672AD77D1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431408"/>
        <c:axId val="711434032"/>
      </c:scatterChart>
      <c:valAx>
        <c:axId val="71143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434032"/>
        <c:crosses val="autoZero"/>
        <c:crossBetween val="midCat"/>
      </c:valAx>
      <c:valAx>
        <c:axId val="71143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43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Sheet1!$AP$3:$AP$22</c:f>
              <c:numCache>
                <c:formatCode>General</c:formatCode>
                <c:ptCount val="20"/>
                <c:pt idx="0">
                  <c:v>-1.2770510539867155</c:v>
                </c:pt>
                <c:pt idx="1">
                  <c:v>-0.50727959446848359</c:v>
                </c:pt>
                <c:pt idx="2">
                  <c:v>-3.6359631930240027E-2</c:v>
                </c:pt>
                <c:pt idx="3">
                  <c:v>0.65169330489720501</c:v>
                </c:pt>
                <c:pt idx="4">
                  <c:v>0.61970421472344372</c:v>
                </c:pt>
                <c:pt idx="5">
                  <c:v>0.5297508863333833</c:v>
                </c:pt>
                <c:pt idx="6">
                  <c:v>1.3780755983659558</c:v>
                </c:pt>
                <c:pt idx="7">
                  <c:v>1.3646694229016134</c:v>
                </c:pt>
                <c:pt idx="8">
                  <c:v>1.751024176716987</c:v>
                </c:pt>
                <c:pt idx="9">
                  <c:v>1.1238831901492197</c:v>
                </c:pt>
                <c:pt idx="10">
                  <c:v>0.97872049417723961</c:v>
                </c:pt>
                <c:pt idx="11">
                  <c:v>4.8014961212628604E-2</c:v>
                </c:pt>
                <c:pt idx="12">
                  <c:v>-0.31823120575797159</c:v>
                </c:pt>
                <c:pt idx="13">
                  <c:v>4.294740412986231E-2</c:v>
                </c:pt>
                <c:pt idx="14">
                  <c:v>-0.63365434772077167</c:v>
                </c:pt>
                <c:pt idx="15">
                  <c:v>-1.0280531795725616</c:v>
                </c:pt>
                <c:pt idx="16">
                  <c:v>-1.1832790554226966</c:v>
                </c:pt>
                <c:pt idx="17">
                  <c:v>-1.3396372109948025</c:v>
                </c:pt>
                <c:pt idx="18">
                  <c:v>-1.5198391209831499</c:v>
                </c:pt>
                <c:pt idx="19">
                  <c:v>-0.99347625370736758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5A-4B3C-971D-DC2EE2566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288592"/>
        <c:axId val="704289904"/>
      </c:scatterChart>
      <c:valAx>
        <c:axId val="70428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4289904"/>
        <c:crosses val="autoZero"/>
        <c:crossBetween val="midCat"/>
      </c:valAx>
      <c:valAx>
        <c:axId val="70428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4288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Sheet2!$P$6:$P$25</c:f>
              <c:numCache>
                <c:formatCode>General</c:formatCode>
                <c:ptCount val="20"/>
                <c:pt idx="0">
                  <c:v>-2.0227884576702744</c:v>
                </c:pt>
                <c:pt idx="1">
                  <c:v>3.4639999164351929</c:v>
                </c:pt>
                <c:pt idx="2">
                  <c:v>0.45806084438001238</c:v>
                </c:pt>
                <c:pt idx="3">
                  <c:v>4.6156734610845724</c:v>
                </c:pt>
                <c:pt idx="4">
                  <c:v>9.4489101688404453</c:v>
                </c:pt>
                <c:pt idx="5">
                  <c:v>1.8291914441594179</c:v>
                </c:pt>
                <c:pt idx="6">
                  <c:v>-1.4765180841282137</c:v>
                </c:pt>
                <c:pt idx="7">
                  <c:v>8.6740270747804402</c:v>
                </c:pt>
                <c:pt idx="8">
                  <c:v>5.3079543998222167</c:v>
                </c:pt>
                <c:pt idx="9">
                  <c:v>-5.341402875608428</c:v>
                </c:pt>
                <c:pt idx="10">
                  <c:v>3.6377518863752707</c:v>
                </c:pt>
                <c:pt idx="11">
                  <c:v>-3.1746063343902486</c:v>
                </c:pt>
                <c:pt idx="12">
                  <c:v>-5.3288825850876709</c:v>
                </c:pt>
                <c:pt idx="13">
                  <c:v>-7.0737988018236608</c:v>
                </c:pt>
                <c:pt idx="14">
                  <c:v>-2.1833695691849013</c:v>
                </c:pt>
                <c:pt idx="15">
                  <c:v>-9.5380001563330481</c:v>
                </c:pt>
                <c:pt idx="16">
                  <c:v>-7.7924399522023764</c:v>
                </c:pt>
                <c:pt idx="17">
                  <c:v>-4.5916164456426252</c:v>
                </c:pt>
                <c:pt idx="18">
                  <c:v>-3.4880073874737261</c:v>
                </c:pt>
                <c:pt idx="19">
                  <c:v>-0.34865258389994491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BE-4E5F-80DC-271FCB11A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4255136"/>
        <c:axId val="704267600"/>
      </c:scatterChart>
      <c:valAx>
        <c:axId val="70425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4267600"/>
        <c:crosses val="autoZero"/>
        <c:crossBetween val="midCat"/>
      </c:valAx>
      <c:valAx>
        <c:axId val="7042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425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291193</xdr:colOff>
      <xdr:row>0</xdr:row>
      <xdr:rowOff>117021</xdr:rowOff>
    </xdr:from>
    <xdr:to>
      <xdr:col>20</xdr:col>
      <xdr:colOff>169273</xdr:colOff>
      <xdr:row>12</xdr:row>
      <xdr:rowOff>208461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95F8792-765A-45AC-8F9C-D9FB5B45C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395696</xdr:colOff>
      <xdr:row>0</xdr:row>
      <xdr:rowOff>119199</xdr:rowOff>
    </xdr:from>
    <xdr:to>
      <xdr:col>27</xdr:col>
      <xdr:colOff>273776</xdr:colOff>
      <xdr:row>12</xdr:row>
      <xdr:rowOff>210639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49D73D1-7E4B-4FA2-BA1F-DBB25A16D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310243</xdr:colOff>
      <xdr:row>13</xdr:row>
      <xdr:rowOff>206827</xdr:rowOff>
    </xdr:from>
    <xdr:to>
      <xdr:col>20</xdr:col>
      <xdr:colOff>157843</xdr:colOff>
      <xdr:row>26</xdr:row>
      <xdr:rowOff>119742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DDA83E8-FF60-444E-A772-F54FE8312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614548</xdr:colOff>
      <xdr:row>25</xdr:row>
      <xdr:rowOff>45522</xdr:rowOff>
    </xdr:from>
    <xdr:to>
      <xdr:col>34</xdr:col>
      <xdr:colOff>462148</xdr:colOff>
      <xdr:row>37</xdr:row>
      <xdr:rowOff>183077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94584F6-883C-43C6-B3E8-FA6E73D29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391886</xdr:colOff>
      <xdr:row>13</xdr:row>
      <xdr:rowOff>206828</xdr:rowOff>
    </xdr:from>
    <xdr:to>
      <xdr:col>27</xdr:col>
      <xdr:colOff>239486</xdr:colOff>
      <xdr:row>26</xdr:row>
      <xdr:rowOff>119743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B58B55C-60EF-46B1-BF19-399CCF59B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304800</xdr:colOff>
      <xdr:row>27</xdr:row>
      <xdr:rowOff>10886</xdr:rowOff>
    </xdr:from>
    <xdr:to>
      <xdr:col>20</xdr:col>
      <xdr:colOff>152400</xdr:colOff>
      <xdr:row>39</xdr:row>
      <xdr:rowOff>141515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4419962-144F-4E27-A137-0BBAF14BF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387927</xdr:colOff>
      <xdr:row>27</xdr:row>
      <xdr:rowOff>13854</xdr:rowOff>
    </xdr:from>
    <xdr:to>
      <xdr:col>27</xdr:col>
      <xdr:colOff>235528</xdr:colOff>
      <xdr:row>39</xdr:row>
      <xdr:rowOff>144483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FF7CC8BE-2765-4658-87F6-6A32BD21E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57150</xdr:colOff>
      <xdr:row>64</xdr:row>
      <xdr:rowOff>209550</xdr:rowOff>
    </xdr:from>
    <xdr:to>
      <xdr:col>34</xdr:col>
      <xdr:colOff>571500</xdr:colOff>
      <xdr:row>77</xdr:row>
      <xdr:rowOff>111579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F80C0097-8430-4893-80E7-2A72BED1A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76200</xdr:colOff>
      <xdr:row>51</xdr:row>
      <xdr:rowOff>95250</xdr:rowOff>
    </xdr:from>
    <xdr:to>
      <xdr:col>34</xdr:col>
      <xdr:colOff>590550</xdr:colOff>
      <xdr:row>63</xdr:row>
      <xdr:rowOff>225879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18233801-876F-450C-8B06-789A88C98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209550</xdr:colOff>
      <xdr:row>65</xdr:row>
      <xdr:rowOff>19050</xdr:rowOff>
    </xdr:from>
    <xdr:to>
      <xdr:col>42</xdr:col>
      <xdr:colOff>57150</xdr:colOff>
      <xdr:row>77</xdr:row>
      <xdr:rowOff>149679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E9FE459D-C7DB-4062-8455-C6D7ED9AC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285750</xdr:colOff>
      <xdr:row>51</xdr:row>
      <xdr:rowOff>133350</xdr:rowOff>
    </xdr:from>
    <xdr:to>
      <xdr:col>42</xdr:col>
      <xdr:colOff>133350</xdr:colOff>
      <xdr:row>64</xdr:row>
      <xdr:rowOff>35379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3769D15C-1245-4808-B71C-6E708B282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19050</xdr:colOff>
      <xdr:row>51</xdr:row>
      <xdr:rowOff>0</xdr:rowOff>
    </xdr:from>
    <xdr:to>
      <xdr:col>19</xdr:col>
      <xdr:colOff>533400</xdr:colOff>
      <xdr:row>63</xdr:row>
      <xdr:rowOff>123009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DC7CD2C7-7099-4299-A15A-8464A9E0A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20</xdr:col>
      <xdr:colOff>209550</xdr:colOff>
      <xdr:row>51</xdr:row>
      <xdr:rowOff>57150</xdr:rowOff>
    </xdr:from>
    <xdr:to>
      <xdr:col>27</xdr:col>
      <xdr:colOff>57150</xdr:colOff>
      <xdr:row>63</xdr:row>
      <xdr:rowOff>180159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7F4F18B-17C9-4C07-92E8-33156EFDC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571500</xdr:colOff>
      <xdr:row>65</xdr:row>
      <xdr:rowOff>0</xdr:rowOff>
    </xdr:from>
    <xdr:to>
      <xdr:col>19</xdr:col>
      <xdr:colOff>419100</xdr:colOff>
      <xdr:row>77</xdr:row>
      <xdr:rowOff>123009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7AB93B37-7E90-4EA3-AED9-21FA6A0DB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209550</xdr:colOff>
      <xdr:row>65</xdr:row>
      <xdr:rowOff>0</xdr:rowOff>
    </xdr:from>
    <xdr:to>
      <xdr:col>27</xdr:col>
      <xdr:colOff>57150</xdr:colOff>
      <xdr:row>77</xdr:row>
      <xdr:rowOff>123009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B5B37AD-263A-40A5-9464-0981C605F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590550</xdr:colOff>
      <xdr:row>78</xdr:row>
      <xdr:rowOff>190500</xdr:rowOff>
    </xdr:from>
    <xdr:to>
      <xdr:col>19</xdr:col>
      <xdr:colOff>438150</xdr:colOff>
      <xdr:row>91</xdr:row>
      <xdr:rowOff>84909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C0A824CE-A1DE-47C6-B83E-07D12CAED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114300</xdr:colOff>
      <xdr:row>79</xdr:row>
      <xdr:rowOff>19050</xdr:rowOff>
    </xdr:from>
    <xdr:to>
      <xdr:col>26</xdr:col>
      <xdr:colOff>628650</xdr:colOff>
      <xdr:row>91</xdr:row>
      <xdr:rowOff>142059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71502BA9-906D-4F56-8915-F50034267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476250</xdr:colOff>
      <xdr:row>92</xdr:row>
      <xdr:rowOff>190500</xdr:rowOff>
    </xdr:from>
    <xdr:to>
      <xdr:col>19</xdr:col>
      <xdr:colOff>323850</xdr:colOff>
      <xdr:row>105</xdr:row>
      <xdr:rowOff>84909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964BDBC3-4B83-4F9E-9462-83337F31C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114300</xdr:colOff>
      <xdr:row>92</xdr:row>
      <xdr:rowOff>190500</xdr:rowOff>
    </xdr:from>
    <xdr:to>
      <xdr:col>26</xdr:col>
      <xdr:colOff>628650</xdr:colOff>
      <xdr:row>105</xdr:row>
      <xdr:rowOff>84909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58AACAFA-A00A-4E02-AE67-33B530ACF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95250</xdr:colOff>
      <xdr:row>79</xdr:row>
      <xdr:rowOff>57150</xdr:rowOff>
    </xdr:from>
    <xdr:to>
      <xdr:col>34</xdr:col>
      <xdr:colOff>609600</xdr:colOff>
      <xdr:row>91</xdr:row>
      <xdr:rowOff>180159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6AA79CB2-A9C2-40CA-AD3A-A3ED16656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35</xdr:col>
      <xdr:colOff>285750</xdr:colOff>
      <xdr:row>79</xdr:row>
      <xdr:rowOff>114300</xdr:rowOff>
    </xdr:from>
    <xdr:to>
      <xdr:col>42</xdr:col>
      <xdr:colOff>133350</xdr:colOff>
      <xdr:row>92</xdr:row>
      <xdr:rowOff>8709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C987E06C-7B65-46E6-BF99-53FD28BF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27</xdr:col>
      <xdr:colOff>647700</xdr:colOff>
      <xdr:row>93</xdr:row>
      <xdr:rowOff>57150</xdr:rowOff>
    </xdr:from>
    <xdr:to>
      <xdr:col>34</xdr:col>
      <xdr:colOff>495300</xdr:colOff>
      <xdr:row>105</xdr:row>
      <xdr:rowOff>180159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777D8DA9-E9A6-4C87-BACA-DDCD887C6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35</xdr:col>
      <xdr:colOff>285750</xdr:colOff>
      <xdr:row>93</xdr:row>
      <xdr:rowOff>57150</xdr:rowOff>
    </xdr:from>
    <xdr:to>
      <xdr:col>42</xdr:col>
      <xdr:colOff>133350</xdr:colOff>
      <xdr:row>105</xdr:row>
      <xdr:rowOff>180159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E1B44FB3-30C1-4836-9CD9-F7782F610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40</xdr:col>
      <xdr:colOff>9525</xdr:colOff>
      <xdr:row>27</xdr:row>
      <xdr:rowOff>209550</xdr:rowOff>
    </xdr:from>
    <xdr:to>
      <xdr:col>46</xdr:col>
      <xdr:colOff>581025</xdr:colOff>
      <xdr:row>39</xdr:row>
      <xdr:rowOff>209550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45DC875E-05CE-4487-83CA-8755583BA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27</xdr:col>
      <xdr:colOff>619125</xdr:colOff>
      <xdr:row>1</xdr:row>
      <xdr:rowOff>95250</xdr:rowOff>
    </xdr:from>
    <xdr:to>
      <xdr:col>34</xdr:col>
      <xdr:colOff>523875</xdr:colOff>
      <xdr:row>13</xdr:row>
      <xdr:rowOff>95250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9C969877-8C6A-458B-9199-2EDA5E18B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527957</xdr:colOff>
      <xdr:row>11</xdr:row>
      <xdr:rowOff>76200</xdr:rowOff>
    </xdr:from>
    <xdr:to>
      <xdr:col>15</xdr:col>
      <xdr:colOff>375557</xdr:colOff>
      <xdr:row>23</xdr:row>
      <xdr:rowOff>206828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C76AB77-6440-45C6-92AB-68953E952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91D3-D940-4FFB-9502-C7B00FB2D5BB}">
  <dimension ref="A1:AS69"/>
  <sheetViews>
    <sheetView tabSelected="1" zoomScale="25" zoomScaleNormal="25" workbookViewId="0">
      <selection activeCell="AY61" sqref="AY61"/>
    </sheetView>
  </sheetViews>
  <sheetFormatPr defaultRowHeight="17.399999999999999" x14ac:dyDescent="0.4"/>
  <sheetData>
    <row r="1" spans="1:45" x14ac:dyDescent="0.4">
      <c r="A1">
        <v>0</v>
      </c>
      <c r="B1">
        <f>SIN(2*PI()*J1/20)</f>
        <v>0</v>
      </c>
      <c r="C1">
        <f>COS(2*PI()*J1/20)</f>
        <v>1</v>
      </c>
      <c r="E1">
        <f>B1+C1</f>
        <v>1</v>
      </c>
      <c r="F1">
        <f>B1-C1</f>
        <v>-1</v>
      </c>
      <c r="G1">
        <f>-B1+C1</f>
        <v>1</v>
      </c>
      <c r="H1">
        <f>-B1-C1</f>
        <v>-1</v>
      </c>
      <c r="J1">
        <v>0</v>
      </c>
    </row>
    <row r="2" spans="1:45" x14ac:dyDescent="0.4">
      <c r="A2">
        <v>1</v>
      </c>
      <c r="B2">
        <f>SIN(2*PI()*J2/20)</f>
        <v>0.3090169943749474</v>
      </c>
      <c r="C2">
        <f>COS(2*PI()*J2/20)</f>
        <v>0.95105651629515353</v>
      </c>
      <c r="E2">
        <f t="shared" ref="E2:E21" si="0">B2+C2</f>
        <v>1.2600735106701009</v>
      </c>
      <c r="F2">
        <f t="shared" ref="F2:F21" si="1">B2-C2</f>
        <v>-0.64203952192020619</v>
      </c>
      <c r="G2">
        <f t="shared" ref="G2:G21" si="2">-B2+C2</f>
        <v>0.64203952192020619</v>
      </c>
      <c r="H2">
        <f t="shared" ref="H2:H21" si="3">-B2-C2</f>
        <v>-1.2600735106701009</v>
      </c>
      <c r="J2">
        <v>1</v>
      </c>
    </row>
    <row r="3" spans="1:45" x14ac:dyDescent="0.4">
      <c r="A3">
        <v>2</v>
      </c>
      <c r="B3">
        <f>SIN(2*PI()*J3/20)</f>
        <v>0.58778525229247314</v>
      </c>
      <c r="C3">
        <f>COS(2*PI()*J3/20)</f>
        <v>0.80901699437494745</v>
      </c>
      <c r="E3">
        <f t="shared" si="0"/>
        <v>1.3968022466674206</v>
      </c>
      <c r="F3">
        <f t="shared" si="1"/>
        <v>-0.22123174208247431</v>
      </c>
      <c r="G3">
        <f t="shared" si="2"/>
        <v>0.22123174208247431</v>
      </c>
      <c r="H3">
        <f t="shared" si="3"/>
        <v>-1.3968022466674206</v>
      </c>
      <c r="J3">
        <v>2</v>
      </c>
      <c r="AJ3">
        <v>0</v>
      </c>
      <c r="AK3">
        <v>1</v>
      </c>
      <c r="AM3">
        <v>-1</v>
      </c>
      <c r="AN3">
        <f ca="1">_xlfn.NORM.S.INV(RAND())/4</f>
        <v>-0.27705105398671542</v>
      </c>
      <c r="AP3">
        <f ca="1">AM3+AN3</f>
        <v>-1.2770510539867155</v>
      </c>
      <c r="AR3">
        <f ca="1">AP3*AJ3</f>
        <v>0</v>
      </c>
      <c r="AS3">
        <f ca="1">AP3*AK3</f>
        <v>-1.2770510539867155</v>
      </c>
    </row>
    <row r="4" spans="1:45" x14ac:dyDescent="0.4">
      <c r="A4">
        <v>3</v>
      </c>
      <c r="B4">
        <f>SIN(2*PI()*J4/20)</f>
        <v>0.80901699437494745</v>
      </c>
      <c r="C4">
        <f>COS(2*PI()*J4/20)</f>
        <v>0.58778525229247314</v>
      </c>
      <c r="E4">
        <f t="shared" si="0"/>
        <v>1.3968022466674206</v>
      </c>
      <c r="F4">
        <f t="shared" si="1"/>
        <v>0.22123174208247431</v>
      </c>
      <c r="G4">
        <f t="shared" si="2"/>
        <v>-0.22123174208247431</v>
      </c>
      <c r="H4">
        <f t="shared" si="3"/>
        <v>-1.3968022466674206</v>
      </c>
      <c r="J4">
        <v>3</v>
      </c>
      <c r="AJ4">
        <v>0.3090169943749474</v>
      </c>
      <c r="AK4">
        <v>0.95105651629515353</v>
      </c>
      <c r="AM4">
        <v>-0.64203952192020619</v>
      </c>
      <c r="AN4">
        <f t="shared" ref="AN4:AN22" ca="1" si="4">_xlfn.NORM.S.INV(RAND())/4</f>
        <v>0.13475992745172261</v>
      </c>
      <c r="AP4">
        <f t="shared" ref="AP4:AP22" ca="1" si="5">AM4+AN4</f>
        <v>-0.50727959446848359</v>
      </c>
      <c r="AR4">
        <f t="shared" ref="AR4:AR22" ca="1" si="6">AP4*AJ4</f>
        <v>-0.15675801559039299</v>
      </c>
      <c r="AS4">
        <f t="shared" ref="AS4:AS22" ca="1" si="7">AP4*AK4</f>
        <v>-0.48245156390281424</v>
      </c>
    </row>
    <row r="5" spans="1:45" x14ac:dyDescent="0.4">
      <c r="A5">
        <v>4</v>
      </c>
      <c r="B5">
        <f>SIN(2*PI()*J5/20)</f>
        <v>0.95105651629515353</v>
      </c>
      <c r="C5">
        <f>COS(2*PI()*J5/20)</f>
        <v>0.30901699437494745</v>
      </c>
      <c r="E5">
        <f t="shared" si="0"/>
        <v>1.2600735106701011</v>
      </c>
      <c r="F5">
        <f t="shared" si="1"/>
        <v>0.64203952192020608</v>
      </c>
      <c r="G5">
        <f t="shared" si="2"/>
        <v>-0.64203952192020608</v>
      </c>
      <c r="H5">
        <f t="shared" si="3"/>
        <v>-1.2600735106701011</v>
      </c>
      <c r="J5">
        <v>4</v>
      </c>
      <c r="AJ5">
        <v>0.58778525229247314</v>
      </c>
      <c r="AK5">
        <v>0.80901699437494745</v>
      </c>
      <c r="AM5">
        <v>-0.22123174208247431</v>
      </c>
      <c r="AN5">
        <f t="shared" ca="1" si="4"/>
        <v>0.18487211015223429</v>
      </c>
      <c r="AP5">
        <f t="shared" ca="1" si="5"/>
        <v>-3.6359631930240027E-2</v>
      </c>
      <c r="AR5">
        <f t="shared" ca="1" si="6"/>
        <v>-2.1371655427377595E-2</v>
      </c>
      <c r="AS5">
        <f t="shared" ca="1" si="7"/>
        <v>-2.9415560140782157E-2</v>
      </c>
    </row>
    <row r="6" spans="1:45" x14ac:dyDescent="0.4">
      <c r="A6">
        <v>5</v>
      </c>
      <c r="B6">
        <f>SIN(2*PI()*J6/20)</f>
        <v>1</v>
      </c>
      <c r="C6">
        <f>COS(2*PI()*J6/20)</f>
        <v>6.1257422745431001E-17</v>
      </c>
      <c r="E6">
        <f t="shared" si="0"/>
        <v>1</v>
      </c>
      <c r="F6">
        <f t="shared" si="1"/>
        <v>0.99999999999999989</v>
      </c>
      <c r="G6">
        <f t="shared" si="2"/>
        <v>-0.99999999999999989</v>
      </c>
      <c r="H6">
        <f t="shared" si="3"/>
        <v>-1</v>
      </c>
      <c r="J6">
        <v>5</v>
      </c>
      <c r="AJ6">
        <v>0.80901699437494745</v>
      </c>
      <c r="AK6">
        <v>0.58778525229247314</v>
      </c>
      <c r="AM6">
        <v>0.22123174208247431</v>
      </c>
      <c r="AN6">
        <f t="shared" ca="1" si="4"/>
        <v>0.43046156281473069</v>
      </c>
      <c r="AP6">
        <f t="shared" ca="1" si="5"/>
        <v>0.65169330489720501</v>
      </c>
      <c r="AR6">
        <f t="shared" ca="1" si="6"/>
        <v>0.52723095878221304</v>
      </c>
      <c r="AS6">
        <f t="shared" ca="1" si="7"/>
        <v>0.38305571363631924</v>
      </c>
    </row>
    <row r="7" spans="1:45" x14ac:dyDescent="0.4">
      <c r="A7">
        <v>6</v>
      </c>
      <c r="B7">
        <f>SIN(2*PI()*J7/20)</f>
        <v>0.95105651629515364</v>
      </c>
      <c r="C7">
        <f>COS(2*PI()*J7/20)</f>
        <v>-0.30901699437494734</v>
      </c>
      <c r="E7">
        <f t="shared" si="0"/>
        <v>0.6420395219202063</v>
      </c>
      <c r="F7">
        <f t="shared" si="1"/>
        <v>1.2600735106701011</v>
      </c>
      <c r="G7">
        <f t="shared" si="2"/>
        <v>-1.2600735106701011</v>
      </c>
      <c r="H7">
        <f t="shared" si="3"/>
        <v>-0.6420395219202063</v>
      </c>
      <c r="J7">
        <v>6</v>
      </c>
      <c r="AJ7">
        <v>0.95105651629515353</v>
      </c>
      <c r="AK7">
        <v>0.30901699437494745</v>
      </c>
      <c r="AM7">
        <v>0.64203952192020608</v>
      </c>
      <c r="AN7">
        <f t="shared" ca="1" si="4"/>
        <v>-2.2335307196762379E-2</v>
      </c>
      <c r="AP7">
        <f t="shared" ca="1" si="5"/>
        <v>0.61970421472344372</v>
      </c>
      <c r="AR7">
        <f t="shared" ca="1" si="6"/>
        <v>0.5893737315883022</v>
      </c>
      <c r="AS7">
        <f t="shared" ca="1" si="7"/>
        <v>0.19149913383532563</v>
      </c>
    </row>
    <row r="8" spans="1:45" x14ac:dyDescent="0.4">
      <c r="A8">
        <v>7</v>
      </c>
      <c r="B8">
        <f>SIN(2*PI()*J8/20)</f>
        <v>0.80901699437494745</v>
      </c>
      <c r="C8">
        <f>COS(2*PI()*J8/20)</f>
        <v>-0.58778525229247303</v>
      </c>
      <c r="E8">
        <f t="shared" si="0"/>
        <v>0.22123174208247443</v>
      </c>
      <c r="F8">
        <f t="shared" si="1"/>
        <v>1.3968022466674204</v>
      </c>
      <c r="G8">
        <f t="shared" si="2"/>
        <v>-1.3968022466674204</v>
      </c>
      <c r="H8">
        <f t="shared" si="3"/>
        <v>-0.22123174208247443</v>
      </c>
      <c r="J8">
        <v>7</v>
      </c>
      <c r="AJ8">
        <v>1</v>
      </c>
      <c r="AK8">
        <v>6.1257422745431001E-17</v>
      </c>
      <c r="AM8">
        <v>0.99999999999999989</v>
      </c>
      <c r="AN8">
        <f t="shared" ca="1" si="4"/>
        <v>-0.47024911366661665</v>
      </c>
      <c r="AP8">
        <f t="shared" ca="1" si="5"/>
        <v>0.5297508863333833</v>
      </c>
      <c r="AR8">
        <f t="shared" ca="1" si="6"/>
        <v>0.5297508863333833</v>
      </c>
      <c r="AS8">
        <f t="shared" ca="1" si="7"/>
        <v>3.2451173993890826E-17</v>
      </c>
    </row>
    <row r="9" spans="1:45" x14ac:dyDescent="0.4">
      <c r="A9">
        <v>8</v>
      </c>
      <c r="B9">
        <f>SIN(2*PI()*J9/20)</f>
        <v>0.58778525229247325</v>
      </c>
      <c r="C9">
        <f>COS(2*PI()*J9/20)</f>
        <v>-0.80901699437494734</v>
      </c>
      <c r="E9">
        <f t="shared" si="0"/>
        <v>-0.22123174208247409</v>
      </c>
      <c r="F9">
        <f t="shared" si="1"/>
        <v>1.3968022466674206</v>
      </c>
      <c r="G9">
        <f t="shared" si="2"/>
        <v>-1.3968022466674206</v>
      </c>
      <c r="H9">
        <f t="shared" si="3"/>
        <v>0.22123174208247409</v>
      </c>
      <c r="J9">
        <v>8</v>
      </c>
      <c r="AJ9">
        <v>0.95105651629515364</v>
      </c>
      <c r="AK9">
        <v>-0.30901699437494734</v>
      </c>
      <c r="AM9">
        <v>1.2600735106701011</v>
      </c>
      <c r="AN9">
        <f t="shared" ca="1" si="4"/>
        <v>0.11800208769585464</v>
      </c>
      <c r="AP9">
        <f t="shared" ca="1" si="5"/>
        <v>1.3780755983659558</v>
      </c>
      <c r="AR9">
        <f t="shared" ca="1" si="6"/>
        <v>1.3106277777732853</v>
      </c>
      <c r="AS9">
        <f t="shared" ca="1" si="7"/>
        <v>-0.42584877942850474</v>
      </c>
    </row>
    <row r="10" spans="1:45" x14ac:dyDescent="0.4">
      <c r="A10">
        <v>9</v>
      </c>
      <c r="B10">
        <f>SIN(2*PI()*J10/20)</f>
        <v>0.30901699437494751</v>
      </c>
      <c r="C10">
        <f>COS(2*PI()*J10/20)</f>
        <v>-0.95105651629515353</v>
      </c>
      <c r="E10">
        <f t="shared" si="0"/>
        <v>-0.64203952192020597</v>
      </c>
      <c r="F10">
        <f t="shared" si="1"/>
        <v>1.2600735106701011</v>
      </c>
      <c r="G10">
        <f t="shared" si="2"/>
        <v>-1.2600735106701011</v>
      </c>
      <c r="H10">
        <f t="shared" si="3"/>
        <v>0.64203952192020597</v>
      </c>
      <c r="J10">
        <v>9</v>
      </c>
      <c r="AJ10">
        <v>0.80901699437494745</v>
      </c>
      <c r="AK10">
        <v>-0.58778525229247303</v>
      </c>
      <c r="AM10">
        <v>1.3968022466674204</v>
      </c>
      <c r="AN10">
        <f t="shared" ca="1" si="4"/>
        <v>-3.213282376580695E-2</v>
      </c>
      <c r="AP10">
        <f t="shared" ca="1" si="5"/>
        <v>1.3646694229016134</v>
      </c>
      <c r="AR10">
        <f t="shared" ca="1" si="6"/>
        <v>1.1040407548312574</v>
      </c>
      <c r="AS10">
        <f t="shared" ca="1" si="7"/>
        <v>-0.80213256103604846</v>
      </c>
    </row>
    <row r="11" spans="1:45" x14ac:dyDescent="0.4">
      <c r="A11">
        <v>10</v>
      </c>
      <c r="B11">
        <f>SIN(2*PI()*J11/20)</f>
        <v>1.22514845490862E-16</v>
      </c>
      <c r="C11">
        <f>COS(2*PI()*J11/20)</f>
        <v>-1</v>
      </c>
      <c r="E11">
        <f t="shared" si="0"/>
        <v>-0.99999999999999989</v>
      </c>
      <c r="F11">
        <f t="shared" si="1"/>
        <v>1.0000000000000002</v>
      </c>
      <c r="G11">
        <f t="shared" si="2"/>
        <v>-1.0000000000000002</v>
      </c>
      <c r="H11">
        <f t="shared" si="3"/>
        <v>0.99999999999999989</v>
      </c>
      <c r="J11">
        <v>10</v>
      </c>
      <c r="AJ11">
        <v>0.58778525229247325</v>
      </c>
      <c r="AK11">
        <v>-0.80901699437494734</v>
      </c>
      <c r="AM11">
        <v>1.3968022466674206</v>
      </c>
      <c r="AN11">
        <f t="shared" ca="1" si="4"/>
        <v>0.35422193004956648</v>
      </c>
      <c r="AP11">
        <f t="shared" ca="1" si="5"/>
        <v>1.751024176716987</v>
      </c>
      <c r="AR11">
        <f t="shared" ca="1" si="6"/>
        <v>1.0292261874818145</v>
      </c>
      <c r="AS11">
        <f t="shared" ca="1" si="7"/>
        <v>-1.4166083165254435</v>
      </c>
    </row>
    <row r="12" spans="1:45" x14ac:dyDescent="0.4">
      <c r="A12">
        <v>11</v>
      </c>
      <c r="B12">
        <f>SIN(2*PI()*J12/20)</f>
        <v>-0.3090169943749469</v>
      </c>
      <c r="C12">
        <f>COS(2*PI()*J12/20)</f>
        <v>-0.95105651629515375</v>
      </c>
      <c r="E12">
        <f t="shared" si="0"/>
        <v>-1.2600735106701006</v>
      </c>
      <c r="F12">
        <f t="shared" si="1"/>
        <v>0.64203952192020686</v>
      </c>
      <c r="G12">
        <f t="shared" si="2"/>
        <v>-0.64203952192020686</v>
      </c>
      <c r="H12">
        <f t="shared" si="3"/>
        <v>1.2600735106701006</v>
      </c>
      <c r="J12">
        <v>11</v>
      </c>
      <c r="AJ12">
        <v>0.30901699437494751</v>
      </c>
      <c r="AK12">
        <v>-0.95105651629515353</v>
      </c>
      <c r="AM12">
        <v>1.2600735106701011</v>
      </c>
      <c r="AN12">
        <f t="shared" ca="1" si="4"/>
        <v>-0.13619032052088137</v>
      </c>
      <c r="AP12">
        <f t="shared" ca="1" si="5"/>
        <v>1.1238831901492197</v>
      </c>
      <c r="AR12">
        <f t="shared" ca="1" si="6"/>
        <v>0.34729900544843945</v>
      </c>
      <c r="AS12">
        <f t="shared" ca="1" si="7"/>
        <v>-1.0688764315460004</v>
      </c>
    </row>
    <row r="13" spans="1:45" x14ac:dyDescent="0.4">
      <c r="A13">
        <v>12</v>
      </c>
      <c r="B13">
        <f>SIN(2*PI()*J13/20)</f>
        <v>-0.58778525229247303</v>
      </c>
      <c r="C13">
        <f>COS(2*PI()*J13/20)</f>
        <v>-0.80901699437494756</v>
      </c>
      <c r="E13">
        <f t="shared" si="0"/>
        <v>-1.3968022466674206</v>
      </c>
      <c r="F13">
        <f t="shared" si="1"/>
        <v>0.22123174208247454</v>
      </c>
      <c r="G13">
        <f t="shared" si="2"/>
        <v>-0.22123174208247454</v>
      </c>
      <c r="H13">
        <f t="shared" si="3"/>
        <v>1.3968022466674206</v>
      </c>
      <c r="J13">
        <v>12</v>
      </c>
      <c r="AJ13">
        <v>1.22514845490862E-16</v>
      </c>
      <c r="AK13">
        <v>-1</v>
      </c>
      <c r="AM13">
        <v>1.0000000000000002</v>
      </c>
      <c r="AN13">
        <f t="shared" ca="1" si="4"/>
        <v>-2.1279505822760648E-2</v>
      </c>
      <c r="AP13">
        <f t="shared" ca="1" si="5"/>
        <v>0.97872049417723961</v>
      </c>
      <c r="AR13">
        <f t="shared" ca="1" si="6"/>
        <v>1.1990779012286461E-16</v>
      </c>
      <c r="AS13">
        <f t="shared" ca="1" si="7"/>
        <v>-0.97872049417723961</v>
      </c>
    </row>
    <row r="14" spans="1:45" x14ac:dyDescent="0.4">
      <c r="A14">
        <v>13</v>
      </c>
      <c r="B14">
        <f>SIN(2*PI()*J14/20)</f>
        <v>-0.80901699437494734</v>
      </c>
      <c r="C14">
        <f>COS(2*PI()*J14/20)</f>
        <v>-0.58778525229247325</v>
      </c>
      <c r="E14">
        <f t="shared" si="0"/>
        <v>-1.3968022466674206</v>
      </c>
      <c r="F14">
        <f t="shared" si="1"/>
        <v>-0.22123174208247409</v>
      </c>
      <c r="G14">
        <f t="shared" si="2"/>
        <v>0.22123174208247409</v>
      </c>
      <c r="H14">
        <f t="shared" si="3"/>
        <v>1.3968022466674206</v>
      </c>
      <c r="J14">
        <v>13</v>
      </c>
      <c r="AJ14">
        <v>-0.3090169943749469</v>
      </c>
      <c r="AK14">
        <v>-0.95105651629515375</v>
      </c>
      <c r="AM14">
        <v>0.64203952192020686</v>
      </c>
      <c r="AN14">
        <f t="shared" ca="1" si="4"/>
        <v>-0.59402456070757825</v>
      </c>
      <c r="AP14">
        <f t="shared" ca="1" si="5"/>
        <v>4.8014961212628604E-2</v>
      </c>
      <c r="AR14">
        <f t="shared" ca="1" si="6"/>
        <v>-1.4837438998956147E-2</v>
      </c>
      <c r="AS14">
        <f t="shared" ca="1" si="7"/>
        <v>-4.5664941740929492E-2</v>
      </c>
    </row>
    <row r="15" spans="1:45" x14ac:dyDescent="0.4">
      <c r="A15">
        <v>14</v>
      </c>
      <c r="B15">
        <f>SIN(2*PI()*J15/20)</f>
        <v>-0.95105651629515353</v>
      </c>
      <c r="C15">
        <f>COS(2*PI()*J15/20)</f>
        <v>-0.30901699437494756</v>
      </c>
      <c r="E15">
        <f t="shared" si="0"/>
        <v>-1.2600735106701011</v>
      </c>
      <c r="F15">
        <f t="shared" si="1"/>
        <v>-0.64203952192020597</v>
      </c>
      <c r="G15">
        <f t="shared" si="2"/>
        <v>0.64203952192020597</v>
      </c>
      <c r="H15">
        <f t="shared" si="3"/>
        <v>1.2600735106701011</v>
      </c>
      <c r="J15">
        <v>14</v>
      </c>
      <c r="AJ15">
        <v>-0.58778525229247303</v>
      </c>
      <c r="AK15">
        <v>-0.80901699437494756</v>
      </c>
      <c r="AM15">
        <v>0.22123174208247454</v>
      </c>
      <c r="AN15">
        <f t="shared" ca="1" si="4"/>
        <v>-0.53946294784044613</v>
      </c>
      <c r="AP15">
        <f t="shared" ca="1" si="5"/>
        <v>-0.31823120575797159</v>
      </c>
      <c r="AR15">
        <f t="shared" ca="1" si="6"/>
        <v>0.18705160956378722</v>
      </c>
      <c r="AS15">
        <f t="shared" ca="1" si="7"/>
        <v>0.25745445359862967</v>
      </c>
    </row>
    <row r="16" spans="1:45" x14ac:dyDescent="0.4">
      <c r="A16">
        <v>15</v>
      </c>
      <c r="B16">
        <f>SIN(2*PI()*J16/20)</f>
        <v>-1</v>
      </c>
      <c r="C16">
        <f>COS(2*PI()*J16/20)</f>
        <v>-1.83772268236293E-16</v>
      </c>
      <c r="E16">
        <f t="shared" si="0"/>
        <v>-1.0000000000000002</v>
      </c>
      <c r="F16">
        <f t="shared" si="1"/>
        <v>-0.99999999999999978</v>
      </c>
      <c r="G16">
        <f t="shared" si="2"/>
        <v>0.99999999999999978</v>
      </c>
      <c r="H16">
        <f t="shared" si="3"/>
        <v>1.0000000000000002</v>
      </c>
      <c r="J16">
        <v>15</v>
      </c>
      <c r="AJ16">
        <v>-0.80901699437494734</v>
      </c>
      <c r="AK16">
        <v>-0.58778525229247325</v>
      </c>
      <c r="AM16">
        <v>-0.22123174208247409</v>
      </c>
      <c r="AN16">
        <f t="shared" ca="1" si="4"/>
        <v>0.2641791462123364</v>
      </c>
      <c r="AP16">
        <f t="shared" ca="1" si="5"/>
        <v>4.294740412986231E-2</v>
      </c>
      <c r="AR16">
        <f t="shared" ca="1" si="6"/>
        <v>-3.4745179805347408E-2</v>
      </c>
      <c r="AS16">
        <f t="shared" ca="1" si="7"/>
        <v>-2.5243850771777925E-2</v>
      </c>
    </row>
    <row r="17" spans="1:45" x14ac:dyDescent="0.4">
      <c r="A17">
        <v>16</v>
      </c>
      <c r="B17">
        <f>SIN(2*PI()*J17/20)</f>
        <v>-0.95105651629515364</v>
      </c>
      <c r="C17">
        <f>COS(2*PI()*J17/20)</f>
        <v>0.30901699437494723</v>
      </c>
      <c r="E17">
        <f t="shared" si="0"/>
        <v>-0.64203952192020641</v>
      </c>
      <c r="F17">
        <f t="shared" si="1"/>
        <v>-1.2600735106701009</v>
      </c>
      <c r="G17">
        <f t="shared" si="2"/>
        <v>1.2600735106701009</v>
      </c>
      <c r="H17">
        <f t="shared" si="3"/>
        <v>0.64203952192020641</v>
      </c>
      <c r="J17">
        <v>16</v>
      </c>
      <c r="AJ17">
        <v>-0.95105651629515353</v>
      </c>
      <c r="AK17">
        <v>-0.30901699437494756</v>
      </c>
      <c r="AM17">
        <v>-0.64203952192020597</v>
      </c>
      <c r="AN17">
        <f t="shared" ca="1" si="4"/>
        <v>8.3851741994342508E-3</v>
      </c>
      <c r="AP17">
        <f t="shared" ca="1" si="5"/>
        <v>-0.63365434772077167</v>
      </c>
      <c r="AR17">
        <f t="shared" ca="1" si="6"/>
        <v>0.60264109647859498</v>
      </c>
      <c r="AS17">
        <f t="shared" ca="1" si="7"/>
        <v>0.19580996200529077</v>
      </c>
    </row>
    <row r="18" spans="1:45" x14ac:dyDescent="0.4">
      <c r="A18">
        <v>17</v>
      </c>
      <c r="B18">
        <f>SIN(2*PI()*J18/20)</f>
        <v>-0.80901699437494756</v>
      </c>
      <c r="C18">
        <f>COS(2*PI()*J18/20)</f>
        <v>0.58778525229247292</v>
      </c>
      <c r="E18">
        <f t="shared" si="0"/>
        <v>-0.22123174208247465</v>
      </c>
      <c r="F18">
        <f t="shared" si="1"/>
        <v>-1.3968022466674204</v>
      </c>
      <c r="G18">
        <f t="shared" si="2"/>
        <v>1.3968022466674204</v>
      </c>
      <c r="H18">
        <f t="shared" si="3"/>
        <v>0.22123174208247465</v>
      </c>
      <c r="J18">
        <v>17</v>
      </c>
      <c r="AJ18">
        <v>-1</v>
      </c>
      <c r="AK18">
        <v>-1.83772268236293E-16</v>
      </c>
      <c r="AM18">
        <v>-0.99999999999999978</v>
      </c>
      <c r="AN18">
        <f t="shared" ca="1" si="4"/>
        <v>-2.8053179572561905E-2</v>
      </c>
      <c r="AP18">
        <f t="shared" ca="1" si="5"/>
        <v>-1.0280531795725616</v>
      </c>
      <c r="AR18">
        <f t="shared" ca="1" si="6"/>
        <v>1.0280531795725616</v>
      </c>
      <c r="AS18">
        <f t="shared" ca="1" si="7"/>
        <v>1.8892766467758268E-16</v>
      </c>
    </row>
    <row r="19" spans="1:45" x14ac:dyDescent="0.4">
      <c r="A19">
        <v>18</v>
      </c>
      <c r="B19">
        <f>SIN(2*PI()*J19/20)</f>
        <v>-0.58778525229247336</v>
      </c>
      <c r="C19">
        <f>COS(2*PI()*J19/20)</f>
        <v>0.80901699437494734</v>
      </c>
      <c r="E19">
        <f t="shared" si="0"/>
        <v>0.22123174208247398</v>
      </c>
      <c r="F19">
        <f t="shared" si="1"/>
        <v>-1.3968022466674208</v>
      </c>
      <c r="G19">
        <f t="shared" si="2"/>
        <v>1.3968022466674208</v>
      </c>
      <c r="H19">
        <f t="shared" si="3"/>
        <v>-0.22123174208247398</v>
      </c>
      <c r="J19">
        <v>18</v>
      </c>
      <c r="AJ19">
        <v>-0.95105651629515364</v>
      </c>
      <c r="AK19">
        <v>0.30901699437494723</v>
      </c>
      <c r="AM19">
        <v>-1.2600735106701009</v>
      </c>
      <c r="AN19">
        <f t="shared" ca="1" si="4"/>
        <v>7.6794455247404289E-2</v>
      </c>
      <c r="AP19">
        <f t="shared" ca="1" si="5"/>
        <v>-1.1832790554226966</v>
      </c>
      <c r="AR19">
        <f t="shared" ca="1" si="6"/>
        <v>1.1253652562553298</v>
      </c>
      <c r="AS19">
        <f t="shared" ca="1" si="7"/>
        <v>-0.36565333721354831</v>
      </c>
    </row>
    <row r="20" spans="1:45" x14ac:dyDescent="0.4">
      <c r="A20">
        <v>19</v>
      </c>
      <c r="B20">
        <f>SIN(2*PI()*J20/20)</f>
        <v>-0.30901699437494762</v>
      </c>
      <c r="C20">
        <f>COS(2*PI()*J20/20)</f>
        <v>0.95105651629515353</v>
      </c>
      <c r="E20">
        <f t="shared" si="0"/>
        <v>0.64203952192020597</v>
      </c>
      <c r="F20">
        <f t="shared" si="1"/>
        <v>-1.2600735106701011</v>
      </c>
      <c r="G20">
        <f t="shared" si="2"/>
        <v>1.2600735106701011</v>
      </c>
      <c r="H20">
        <f t="shared" si="3"/>
        <v>-0.64203952192020597</v>
      </c>
      <c r="J20">
        <v>19</v>
      </c>
      <c r="AJ20">
        <v>-0.80901699437494756</v>
      </c>
      <c r="AK20">
        <v>0.58778525229247292</v>
      </c>
      <c r="AM20">
        <v>-1.3968022466674204</v>
      </c>
      <c r="AN20">
        <f t="shared" ca="1" si="4"/>
        <v>5.7165035672617909E-2</v>
      </c>
      <c r="AP20">
        <f t="shared" ca="1" si="5"/>
        <v>-1.3396372109948025</v>
      </c>
      <c r="AR20">
        <f t="shared" ca="1" si="6"/>
        <v>1.0837892699918525</v>
      </c>
      <c r="AS20">
        <f t="shared" ca="1" si="7"/>
        <v>-0.78741899604496479</v>
      </c>
    </row>
    <row r="21" spans="1:45" x14ac:dyDescent="0.4">
      <c r="AJ21">
        <v>-0.58778525229247336</v>
      </c>
      <c r="AK21">
        <v>0.80901699437494734</v>
      </c>
      <c r="AM21">
        <v>-1.3968022466674208</v>
      </c>
      <c r="AN21">
        <f t="shared" ca="1" si="4"/>
        <v>-0.1230368743157291</v>
      </c>
      <c r="AP21">
        <f t="shared" ca="1" si="5"/>
        <v>-1.5198391209831499</v>
      </c>
      <c r="AR21">
        <f t="shared" ca="1" si="6"/>
        <v>0.89333902117105168</v>
      </c>
      <c r="AS21">
        <f t="shared" ca="1" si="7"/>
        <v>-1.2295756775912499</v>
      </c>
    </row>
    <row r="22" spans="1:45" x14ac:dyDescent="0.4">
      <c r="AJ22">
        <v>-0.30901699437494762</v>
      </c>
      <c r="AK22">
        <v>0.95105651629515353</v>
      </c>
      <c r="AM22">
        <v>-1.2600735106701011</v>
      </c>
      <c r="AN22">
        <f t="shared" ca="1" si="4"/>
        <v>0.26659725696273356</v>
      </c>
      <c r="AP22">
        <f t="shared" ca="1" si="5"/>
        <v>-0.99347625370736758</v>
      </c>
      <c r="AR22">
        <f t="shared" ca="1" si="6"/>
        <v>0.30700104590353366</v>
      </c>
      <c r="AS22">
        <f t="shared" ca="1" si="7"/>
        <v>-0.94485206487288909</v>
      </c>
    </row>
    <row r="27" spans="1:45" x14ac:dyDescent="0.4">
      <c r="A27">
        <v>0</v>
      </c>
      <c r="C27">
        <f>B1-C1</f>
        <v>-1</v>
      </c>
      <c r="D27">
        <f>2*B1-C1</f>
        <v>-1</v>
      </c>
      <c r="E27">
        <f>B1-2*C1</f>
        <v>-2</v>
      </c>
      <c r="F27">
        <f>2*B1-2*C1</f>
        <v>-2</v>
      </c>
      <c r="H27">
        <f>B1+C1</f>
        <v>1</v>
      </c>
      <c r="I27">
        <f>2*B1+C1</f>
        <v>1</v>
      </c>
      <c r="J27">
        <f>B1+2*C1</f>
        <v>2</v>
      </c>
      <c r="K27">
        <f>2*B1+2*C1</f>
        <v>2</v>
      </c>
    </row>
    <row r="28" spans="1:45" x14ac:dyDescent="0.4">
      <c r="A28">
        <v>1</v>
      </c>
      <c r="C28">
        <f t="shared" ref="C28:C47" si="8">B2-C2</f>
        <v>-0.64203952192020619</v>
      </c>
      <c r="D28">
        <f t="shared" ref="D28:D47" si="9">2*B2-C2</f>
        <v>-0.33302252754525874</v>
      </c>
      <c r="E28">
        <f t="shared" ref="E28:E47" si="10">B2-2*C2</f>
        <v>-1.5930960382153596</v>
      </c>
      <c r="F28">
        <f t="shared" ref="F28:F47" si="11">2*B2-2*C2</f>
        <v>-1.2840790438404124</v>
      </c>
      <c r="H28">
        <f>B2+C2</f>
        <v>1.2600735106701009</v>
      </c>
      <c r="I28">
        <f>2*B2+C2</f>
        <v>1.5690905050450483</v>
      </c>
      <c r="J28">
        <f>B2+2*C2</f>
        <v>2.2111300269652543</v>
      </c>
      <c r="K28">
        <f>2*B2+2*C2</f>
        <v>2.5201470213402017</v>
      </c>
    </row>
    <row r="29" spans="1:45" x14ac:dyDescent="0.4">
      <c r="A29">
        <v>2</v>
      </c>
      <c r="C29">
        <f t="shared" si="8"/>
        <v>-0.22123174208247431</v>
      </c>
      <c r="D29">
        <f t="shared" si="9"/>
        <v>0.36655351020999882</v>
      </c>
      <c r="E29">
        <f t="shared" si="10"/>
        <v>-1.0302487364574218</v>
      </c>
      <c r="F29">
        <f t="shared" si="11"/>
        <v>-0.44246348416494863</v>
      </c>
      <c r="H29">
        <f>B3+C3</f>
        <v>1.3968022466674206</v>
      </c>
      <c r="I29">
        <f>2*B3+C3</f>
        <v>1.9845874989598937</v>
      </c>
      <c r="J29">
        <f>B3+2*C3</f>
        <v>2.2058192410423683</v>
      </c>
      <c r="K29">
        <f>2*B3+2*C3</f>
        <v>2.7936044933348412</v>
      </c>
    </row>
    <row r="30" spans="1:45" x14ac:dyDescent="0.4">
      <c r="A30">
        <v>3</v>
      </c>
      <c r="C30">
        <f t="shared" si="8"/>
        <v>0.22123174208247431</v>
      </c>
      <c r="D30">
        <f t="shared" si="9"/>
        <v>1.0302487364574218</v>
      </c>
      <c r="E30">
        <f t="shared" si="10"/>
        <v>-0.36655351020999882</v>
      </c>
      <c r="F30">
        <f t="shared" si="11"/>
        <v>0.44246348416494863</v>
      </c>
      <c r="H30">
        <f>B4+C4</f>
        <v>1.3968022466674206</v>
      </c>
      <c r="I30">
        <f>2*B4+C4</f>
        <v>2.2058192410423683</v>
      </c>
      <c r="J30">
        <f>B4+2*C4</f>
        <v>1.9845874989598937</v>
      </c>
      <c r="K30">
        <f>2*B4+2*C4</f>
        <v>2.7936044933348412</v>
      </c>
    </row>
    <row r="31" spans="1:45" x14ac:dyDescent="0.4">
      <c r="A31">
        <v>4</v>
      </c>
      <c r="C31">
        <f t="shared" si="8"/>
        <v>0.64203952192020608</v>
      </c>
      <c r="D31">
        <f t="shared" si="9"/>
        <v>1.5930960382153596</v>
      </c>
      <c r="E31">
        <f t="shared" si="10"/>
        <v>0.33302252754525863</v>
      </c>
      <c r="F31">
        <f t="shared" si="11"/>
        <v>1.2840790438404122</v>
      </c>
      <c r="H31">
        <f>B5+C5</f>
        <v>1.2600735106701011</v>
      </c>
      <c r="I31">
        <f>2*B5+C5</f>
        <v>2.2111300269652547</v>
      </c>
      <c r="J31">
        <f>B5+2*C5</f>
        <v>1.5690905050450485</v>
      </c>
      <c r="K31">
        <f>2*B5+2*C5</f>
        <v>2.5201470213402022</v>
      </c>
    </row>
    <row r="32" spans="1:45" x14ac:dyDescent="0.4">
      <c r="A32">
        <v>5</v>
      </c>
      <c r="C32">
        <f t="shared" si="8"/>
        <v>0.99999999999999989</v>
      </c>
      <c r="D32">
        <f t="shared" si="9"/>
        <v>2</v>
      </c>
      <c r="E32">
        <f t="shared" si="10"/>
        <v>0.99999999999999989</v>
      </c>
      <c r="F32">
        <f t="shared" si="11"/>
        <v>1.9999999999999998</v>
      </c>
      <c r="H32">
        <f>B6+C6</f>
        <v>1</v>
      </c>
      <c r="I32">
        <f>2*B6+C6</f>
        <v>2</v>
      </c>
      <c r="J32">
        <f>B6+2*C6</f>
        <v>1.0000000000000002</v>
      </c>
      <c r="K32">
        <f>2*B6+2*C6</f>
        <v>2</v>
      </c>
    </row>
    <row r="33" spans="1:11" x14ac:dyDescent="0.4">
      <c r="A33">
        <v>6</v>
      </c>
      <c r="C33">
        <f t="shared" si="8"/>
        <v>1.2600735106701011</v>
      </c>
      <c r="D33">
        <f t="shared" si="9"/>
        <v>2.2111300269652547</v>
      </c>
      <c r="E33">
        <f t="shared" si="10"/>
        <v>1.5690905050450483</v>
      </c>
      <c r="F33">
        <f t="shared" si="11"/>
        <v>2.5201470213402022</v>
      </c>
      <c r="H33">
        <f>B7+C7</f>
        <v>0.6420395219202063</v>
      </c>
      <c r="I33">
        <f>2*B7+C7</f>
        <v>1.5930960382153598</v>
      </c>
      <c r="J33">
        <f>B7+2*C7</f>
        <v>0.33302252754525896</v>
      </c>
      <c r="K33">
        <f>2*B7+2*C7</f>
        <v>1.2840790438404126</v>
      </c>
    </row>
    <row r="34" spans="1:11" x14ac:dyDescent="0.4">
      <c r="A34">
        <v>7</v>
      </c>
      <c r="C34">
        <f t="shared" si="8"/>
        <v>1.3968022466674204</v>
      </c>
      <c r="D34">
        <f t="shared" si="9"/>
        <v>2.2058192410423678</v>
      </c>
      <c r="E34">
        <f t="shared" si="10"/>
        <v>1.9845874989598935</v>
      </c>
      <c r="F34">
        <f t="shared" si="11"/>
        <v>2.7936044933348407</v>
      </c>
      <c r="H34">
        <f>B8+C8</f>
        <v>0.22123174208247443</v>
      </c>
      <c r="I34">
        <f>2*B8+C8</f>
        <v>1.030248736457422</v>
      </c>
      <c r="J34">
        <f>B8+2*C8</f>
        <v>-0.3665535102099986</v>
      </c>
      <c r="K34">
        <f>2*B8+2*C8</f>
        <v>0.44246348416494885</v>
      </c>
    </row>
    <row r="35" spans="1:11" x14ac:dyDescent="0.4">
      <c r="A35">
        <v>8</v>
      </c>
      <c r="C35">
        <f t="shared" si="8"/>
        <v>1.3968022466674206</v>
      </c>
      <c r="D35">
        <f t="shared" si="9"/>
        <v>1.9845874989598937</v>
      </c>
      <c r="E35">
        <f t="shared" si="10"/>
        <v>2.2058192410423678</v>
      </c>
      <c r="F35">
        <f t="shared" si="11"/>
        <v>2.7936044933348412</v>
      </c>
      <c r="H35">
        <f>B9+C9</f>
        <v>-0.22123174208247409</v>
      </c>
      <c r="I35">
        <f>2*B9+C9</f>
        <v>0.36655351020999916</v>
      </c>
      <c r="J35">
        <f>B9+2*C9</f>
        <v>-1.0302487364574215</v>
      </c>
      <c r="K35">
        <f>2*B9+2*C9</f>
        <v>-0.44246348416494818</v>
      </c>
    </row>
    <row r="36" spans="1:11" x14ac:dyDescent="0.4">
      <c r="A36">
        <v>9</v>
      </c>
      <c r="C36">
        <f t="shared" si="8"/>
        <v>1.2600735106701011</v>
      </c>
      <c r="D36">
        <f t="shared" si="9"/>
        <v>1.5690905050450485</v>
      </c>
      <c r="E36">
        <f t="shared" si="10"/>
        <v>2.2111300269652547</v>
      </c>
      <c r="F36">
        <f t="shared" si="11"/>
        <v>2.5201470213402022</v>
      </c>
      <c r="H36">
        <f>B10+C10</f>
        <v>-0.64203952192020597</v>
      </c>
      <c r="I36">
        <f>2*B10+C10</f>
        <v>-0.33302252754525852</v>
      </c>
      <c r="J36">
        <f>B10+2*C10</f>
        <v>-1.5930960382153596</v>
      </c>
      <c r="K36">
        <f>2*B10+2*C10</f>
        <v>-1.2840790438404119</v>
      </c>
    </row>
    <row r="37" spans="1:11" x14ac:dyDescent="0.4">
      <c r="A37">
        <v>10</v>
      </c>
      <c r="C37">
        <f t="shared" si="8"/>
        <v>1.0000000000000002</v>
      </c>
      <c r="D37">
        <f t="shared" si="9"/>
        <v>1.0000000000000002</v>
      </c>
      <c r="E37">
        <f t="shared" si="10"/>
        <v>2</v>
      </c>
      <c r="F37">
        <f t="shared" si="11"/>
        <v>2.0000000000000004</v>
      </c>
      <c r="H37">
        <f>B11+C11</f>
        <v>-0.99999999999999989</v>
      </c>
      <c r="I37">
        <f>2*B11+C11</f>
        <v>-0.99999999999999978</v>
      </c>
      <c r="J37">
        <f>B11+2*C11</f>
        <v>-1.9999999999999998</v>
      </c>
      <c r="K37">
        <f>2*B11+2*C11</f>
        <v>-1.9999999999999998</v>
      </c>
    </row>
    <row r="38" spans="1:11" x14ac:dyDescent="0.4">
      <c r="A38">
        <v>11</v>
      </c>
      <c r="C38">
        <f t="shared" si="8"/>
        <v>0.64203952192020686</v>
      </c>
      <c r="D38">
        <f t="shared" si="9"/>
        <v>0.33302252754525996</v>
      </c>
      <c r="E38">
        <f t="shared" si="10"/>
        <v>1.5930960382153607</v>
      </c>
      <c r="F38">
        <f t="shared" si="11"/>
        <v>1.2840790438404137</v>
      </c>
      <c r="H38">
        <f>B12+C12</f>
        <v>-1.2600735106701006</v>
      </c>
      <c r="I38">
        <f>2*B12+C12</f>
        <v>-1.5690905050450477</v>
      </c>
      <c r="J38">
        <f>B12+2*C12</f>
        <v>-2.2111300269652543</v>
      </c>
      <c r="K38">
        <f>2*B12+2*C12</f>
        <v>-2.5201470213402013</v>
      </c>
    </row>
    <row r="39" spans="1:11" x14ac:dyDescent="0.4">
      <c r="A39">
        <v>12</v>
      </c>
      <c r="C39">
        <f t="shared" si="8"/>
        <v>0.22123174208247454</v>
      </c>
      <c r="D39">
        <f t="shared" si="9"/>
        <v>-0.36655351020999849</v>
      </c>
      <c r="E39">
        <f t="shared" si="10"/>
        <v>1.030248736457422</v>
      </c>
      <c r="F39">
        <f t="shared" si="11"/>
        <v>0.44246348416494907</v>
      </c>
      <c r="H39">
        <f>B13+C13</f>
        <v>-1.3968022466674206</v>
      </c>
      <c r="I39">
        <f>2*B13+C13</f>
        <v>-1.9845874989598937</v>
      </c>
      <c r="J39">
        <f>B13+2*C13</f>
        <v>-2.2058192410423683</v>
      </c>
      <c r="K39">
        <f>2*B13+2*C13</f>
        <v>-2.7936044933348412</v>
      </c>
    </row>
    <row r="40" spans="1:11" x14ac:dyDescent="0.4">
      <c r="A40">
        <v>13</v>
      </c>
      <c r="C40">
        <f t="shared" si="8"/>
        <v>-0.22123174208247409</v>
      </c>
      <c r="D40">
        <f t="shared" si="9"/>
        <v>-1.0302487364574215</v>
      </c>
      <c r="E40">
        <f t="shared" si="10"/>
        <v>0.36655351020999916</v>
      </c>
      <c r="F40">
        <f t="shared" si="11"/>
        <v>-0.44246348416494818</v>
      </c>
      <c r="H40">
        <f>B14+C14</f>
        <v>-1.3968022466674206</v>
      </c>
      <c r="I40">
        <f>2*B14+C14</f>
        <v>-2.2058192410423678</v>
      </c>
      <c r="J40">
        <f>B14+2*C14</f>
        <v>-1.9845874989598937</v>
      </c>
      <c r="K40">
        <f>2*B14+2*C14</f>
        <v>-2.7936044933348412</v>
      </c>
    </row>
    <row r="41" spans="1:11" x14ac:dyDescent="0.4">
      <c r="A41">
        <v>14</v>
      </c>
      <c r="C41">
        <f t="shared" si="8"/>
        <v>-0.64203952192020597</v>
      </c>
      <c r="D41">
        <f t="shared" si="9"/>
        <v>-1.5930960382153594</v>
      </c>
      <c r="E41">
        <f t="shared" si="10"/>
        <v>-0.33302252754525841</v>
      </c>
      <c r="F41">
        <f t="shared" si="11"/>
        <v>-1.2840790438404119</v>
      </c>
      <c r="H41">
        <f>B15+C15</f>
        <v>-1.2600735106701011</v>
      </c>
      <c r="I41">
        <f>2*B15+C15</f>
        <v>-2.2111300269652547</v>
      </c>
      <c r="J41">
        <f>B15+2*C15</f>
        <v>-1.5690905050450485</v>
      </c>
      <c r="K41">
        <f>2*B15+2*C15</f>
        <v>-2.5201470213402022</v>
      </c>
    </row>
    <row r="42" spans="1:11" x14ac:dyDescent="0.4">
      <c r="A42">
        <v>15</v>
      </c>
      <c r="C42">
        <f t="shared" si="8"/>
        <v>-0.99999999999999978</v>
      </c>
      <c r="D42">
        <f t="shared" si="9"/>
        <v>-1.9999999999999998</v>
      </c>
      <c r="E42">
        <f t="shared" si="10"/>
        <v>-0.99999999999999967</v>
      </c>
      <c r="F42">
        <f t="shared" si="11"/>
        <v>-1.9999999999999996</v>
      </c>
      <c r="H42">
        <f>B16+C16</f>
        <v>-1.0000000000000002</v>
      </c>
      <c r="I42">
        <f>2*B16+C16</f>
        <v>-2</v>
      </c>
      <c r="J42">
        <f>B16+2*C16</f>
        <v>-1.0000000000000004</v>
      </c>
      <c r="K42">
        <f>2*B16+2*C16</f>
        <v>-2.0000000000000004</v>
      </c>
    </row>
    <row r="43" spans="1:11" x14ac:dyDescent="0.4">
      <c r="A43">
        <v>16</v>
      </c>
      <c r="C43">
        <f t="shared" si="8"/>
        <v>-1.2600735106701009</v>
      </c>
      <c r="D43">
        <f t="shared" si="9"/>
        <v>-2.2111300269652547</v>
      </c>
      <c r="E43">
        <f t="shared" si="10"/>
        <v>-1.5690905050450481</v>
      </c>
      <c r="F43">
        <f t="shared" si="11"/>
        <v>-2.5201470213402017</v>
      </c>
      <c r="H43">
        <f>B17+C17</f>
        <v>-0.64203952192020641</v>
      </c>
      <c r="I43">
        <f>2*B17+C17</f>
        <v>-1.5930960382153601</v>
      </c>
      <c r="J43">
        <f>B17+2*C17</f>
        <v>-0.33302252754525918</v>
      </c>
      <c r="K43">
        <f>2*B17+2*C17</f>
        <v>-1.2840790438404128</v>
      </c>
    </row>
    <row r="44" spans="1:11" x14ac:dyDescent="0.4">
      <c r="A44">
        <v>17</v>
      </c>
      <c r="C44">
        <f t="shared" si="8"/>
        <v>-1.3968022466674204</v>
      </c>
      <c r="D44">
        <f t="shared" si="9"/>
        <v>-2.2058192410423683</v>
      </c>
      <c r="E44">
        <f t="shared" si="10"/>
        <v>-1.9845874989598933</v>
      </c>
      <c r="F44">
        <f t="shared" si="11"/>
        <v>-2.7936044933348407</v>
      </c>
      <c r="H44">
        <f>B18+C18</f>
        <v>-0.22123174208247465</v>
      </c>
      <c r="I44">
        <f>2*B18+C18</f>
        <v>-1.0302487364574222</v>
      </c>
      <c r="J44">
        <f>B18+2*C18</f>
        <v>0.36655351020999827</v>
      </c>
      <c r="K44">
        <f>2*B18+2*C18</f>
        <v>-0.44246348416494929</v>
      </c>
    </row>
    <row r="45" spans="1:11" x14ac:dyDescent="0.4">
      <c r="A45">
        <v>18</v>
      </c>
      <c r="C45">
        <f t="shared" si="8"/>
        <v>-1.3968022466674208</v>
      </c>
      <c r="D45">
        <f t="shared" si="9"/>
        <v>-1.9845874989598942</v>
      </c>
      <c r="E45">
        <f t="shared" si="10"/>
        <v>-2.2058192410423683</v>
      </c>
      <c r="F45">
        <f t="shared" si="11"/>
        <v>-2.7936044933348416</v>
      </c>
      <c r="H45">
        <f>B19+C19</f>
        <v>0.22123174208247398</v>
      </c>
      <c r="I45">
        <f>2*B19+C19</f>
        <v>-0.36655351020999938</v>
      </c>
      <c r="J45">
        <f>B19+2*C19</f>
        <v>1.0302487364574213</v>
      </c>
      <c r="K45">
        <f>2*B19+2*C19</f>
        <v>0.44246348416494796</v>
      </c>
    </row>
    <row r="46" spans="1:11" x14ac:dyDescent="0.4">
      <c r="A46">
        <v>19</v>
      </c>
      <c r="C46">
        <f t="shared" si="8"/>
        <v>-1.2600735106701011</v>
      </c>
      <c r="D46">
        <f t="shared" si="9"/>
        <v>-1.5690905050450488</v>
      </c>
      <c r="E46">
        <f t="shared" si="10"/>
        <v>-2.2111300269652547</v>
      </c>
      <c r="F46">
        <f t="shared" si="11"/>
        <v>-2.5201470213402022</v>
      </c>
      <c r="H46">
        <f>B20+C20</f>
        <v>0.64203952192020597</v>
      </c>
      <c r="I46">
        <f>2*B20+C20</f>
        <v>0.3330225275452583</v>
      </c>
      <c r="J46">
        <f>B20+2*C20</f>
        <v>1.5930960382153594</v>
      </c>
      <c r="K46">
        <f>2*B20+2*C20</f>
        <v>1.2840790438404119</v>
      </c>
    </row>
    <row r="50" spans="1:11" x14ac:dyDescent="0.4">
      <c r="A50">
        <v>0</v>
      </c>
      <c r="C50">
        <f>-B1-C1</f>
        <v>-1</v>
      </c>
      <c r="D50">
        <f>-2*B1-C1</f>
        <v>-1</v>
      </c>
      <c r="E50">
        <f>-B1-2*C1</f>
        <v>-2</v>
      </c>
      <c r="F50">
        <f>-2*B1-2*C1</f>
        <v>-2</v>
      </c>
      <c r="H50">
        <f>-B1+C1</f>
        <v>1</v>
      </c>
      <c r="I50">
        <f>-2*B1+C1</f>
        <v>1</v>
      </c>
      <c r="J50">
        <f>-B1+2*C1</f>
        <v>2</v>
      </c>
      <c r="K50">
        <f>-2*B1+2*C1</f>
        <v>2</v>
      </c>
    </row>
    <row r="51" spans="1:11" x14ac:dyDescent="0.4">
      <c r="A51">
        <v>1</v>
      </c>
      <c r="C51">
        <f t="shared" ref="C51:C70" si="12">-B2-C2</f>
        <v>-1.2600735106701009</v>
      </c>
      <c r="D51">
        <f t="shared" ref="D51:D70" si="13">-2*B2-C2</f>
        <v>-1.5690905050450483</v>
      </c>
      <c r="E51">
        <f t="shared" ref="E51:E70" si="14">-B2-2*C2</f>
        <v>-2.2111300269652543</v>
      </c>
      <c r="F51">
        <f t="shared" ref="F51:F70" si="15">-2*B2-2*C2</f>
        <v>-2.5201470213402017</v>
      </c>
      <c r="H51">
        <f t="shared" ref="H51:H70" si="16">-B2+C2</f>
        <v>0.64203952192020619</v>
      </c>
      <c r="I51">
        <f t="shared" ref="I51:I70" si="17">-2*B2+C2</f>
        <v>0.33302252754525874</v>
      </c>
      <c r="J51">
        <f t="shared" ref="J51:J70" si="18">-B2+2*C2</f>
        <v>1.5930960382153596</v>
      </c>
      <c r="K51">
        <f t="shared" ref="K51:K70" si="19">-2*B2+2*C2</f>
        <v>1.2840790438404124</v>
      </c>
    </row>
    <row r="52" spans="1:11" x14ac:dyDescent="0.4">
      <c r="A52">
        <v>2</v>
      </c>
      <c r="C52">
        <f t="shared" si="12"/>
        <v>-1.3968022466674206</v>
      </c>
      <c r="D52">
        <f t="shared" si="13"/>
        <v>-1.9845874989598937</v>
      </c>
      <c r="E52">
        <f t="shared" si="14"/>
        <v>-2.2058192410423683</v>
      </c>
      <c r="F52">
        <f t="shared" si="15"/>
        <v>-2.7936044933348412</v>
      </c>
      <c r="H52">
        <f t="shared" si="16"/>
        <v>0.22123174208247431</v>
      </c>
      <c r="I52">
        <f t="shared" si="17"/>
        <v>-0.36655351020999882</v>
      </c>
      <c r="J52">
        <f t="shared" si="18"/>
        <v>1.0302487364574218</v>
      </c>
      <c r="K52">
        <f t="shared" si="19"/>
        <v>0.44246348416494863</v>
      </c>
    </row>
    <row r="53" spans="1:11" x14ac:dyDescent="0.4">
      <c r="A53">
        <v>3</v>
      </c>
      <c r="C53">
        <f t="shared" si="12"/>
        <v>-1.3968022466674206</v>
      </c>
      <c r="D53">
        <f t="shared" si="13"/>
        <v>-2.2058192410423683</v>
      </c>
      <c r="E53">
        <f t="shared" si="14"/>
        <v>-1.9845874989598937</v>
      </c>
      <c r="F53">
        <f t="shared" si="15"/>
        <v>-2.7936044933348412</v>
      </c>
      <c r="H53">
        <f t="shared" si="16"/>
        <v>-0.22123174208247431</v>
      </c>
      <c r="I53">
        <f t="shared" si="17"/>
        <v>-1.0302487364574218</v>
      </c>
      <c r="J53">
        <f t="shared" si="18"/>
        <v>0.36655351020999882</v>
      </c>
      <c r="K53">
        <f t="shared" si="19"/>
        <v>-0.44246348416494863</v>
      </c>
    </row>
    <row r="54" spans="1:11" x14ac:dyDescent="0.4">
      <c r="A54">
        <v>4</v>
      </c>
      <c r="C54">
        <f t="shared" si="12"/>
        <v>-1.2600735106701011</v>
      </c>
      <c r="D54">
        <f t="shared" si="13"/>
        <v>-2.2111300269652547</v>
      </c>
      <c r="E54">
        <f t="shared" si="14"/>
        <v>-1.5690905050450485</v>
      </c>
      <c r="F54">
        <f t="shared" si="15"/>
        <v>-2.5201470213402022</v>
      </c>
      <c r="H54">
        <f t="shared" si="16"/>
        <v>-0.64203952192020608</v>
      </c>
      <c r="I54">
        <f t="shared" si="17"/>
        <v>-1.5930960382153596</v>
      </c>
      <c r="J54">
        <f t="shared" si="18"/>
        <v>-0.33302252754525863</v>
      </c>
      <c r="K54">
        <f t="shared" si="19"/>
        <v>-1.2840790438404122</v>
      </c>
    </row>
    <row r="55" spans="1:11" x14ac:dyDescent="0.4">
      <c r="A55">
        <v>5</v>
      </c>
      <c r="C55">
        <f t="shared" si="12"/>
        <v>-1</v>
      </c>
      <c r="D55">
        <f t="shared" si="13"/>
        <v>-2</v>
      </c>
      <c r="E55">
        <f t="shared" si="14"/>
        <v>-1.0000000000000002</v>
      </c>
      <c r="F55">
        <f t="shared" si="15"/>
        <v>-2</v>
      </c>
      <c r="H55">
        <f t="shared" si="16"/>
        <v>-0.99999999999999989</v>
      </c>
      <c r="I55">
        <f t="shared" si="17"/>
        <v>-2</v>
      </c>
      <c r="J55">
        <f t="shared" si="18"/>
        <v>-0.99999999999999989</v>
      </c>
      <c r="K55">
        <f t="shared" si="19"/>
        <v>-1.9999999999999998</v>
      </c>
    </row>
    <row r="56" spans="1:11" x14ac:dyDescent="0.4">
      <c r="A56">
        <v>6</v>
      </c>
      <c r="C56">
        <f t="shared" si="12"/>
        <v>-0.6420395219202063</v>
      </c>
      <c r="D56">
        <f t="shared" si="13"/>
        <v>-1.5930960382153598</v>
      </c>
      <c r="E56">
        <f t="shared" si="14"/>
        <v>-0.33302252754525896</v>
      </c>
      <c r="F56">
        <f t="shared" si="15"/>
        <v>-1.2840790438404126</v>
      </c>
      <c r="H56">
        <f t="shared" si="16"/>
        <v>-1.2600735106701011</v>
      </c>
      <c r="I56">
        <f t="shared" si="17"/>
        <v>-2.2111300269652547</v>
      </c>
      <c r="J56">
        <f t="shared" si="18"/>
        <v>-1.5690905050450483</v>
      </c>
      <c r="K56">
        <f t="shared" si="19"/>
        <v>-2.5201470213402022</v>
      </c>
    </row>
    <row r="57" spans="1:11" x14ac:dyDescent="0.4">
      <c r="A57">
        <v>7</v>
      </c>
      <c r="C57">
        <f t="shared" si="12"/>
        <v>-0.22123174208247443</v>
      </c>
      <c r="D57">
        <f t="shared" si="13"/>
        <v>-1.030248736457422</v>
      </c>
      <c r="E57">
        <f t="shared" si="14"/>
        <v>0.3665535102099986</v>
      </c>
      <c r="F57">
        <f t="shared" si="15"/>
        <v>-0.44246348416494885</v>
      </c>
      <c r="H57">
        <f t="shared" si="16"/>
        <v>-1.3968022466674204</v>
      </c>
      <c r="I57">
        <f t="shared" si="17"/>
        <v>-2.2058192410423678</v>
      </c>
      <c r="J57">
        <f t="shared" si="18"/>
        <v>-1.9845874989598935</v>
      </c>
      <c r="K57">
        <f t="shared" si="19"/>
        <v>-2.7936044933348407</v>
      </c>
    </row>
    <row r="58" spans="1:11" x14ac:dyDescent="0.4">
      <c r="A58">
        <v>8</v>
      </c>
      <c r="C58">
        <f t="shared" si="12"/>
        <v>0.22123174208247409</v>
      </c>
      <c r="D58">
        <f t="shared" si="13"/>
        <v>-0.36655351020999916</v>
      </c>
      <c r="E58">
        <f t="shared" si="14"/>
        <v>1.0302487364574215</v>
      </c>
      <c r="F58">
        <f t="shared" si="15"/>
        <v>0.44246348416494818</v>
      </c>
      <c r="H58">
        <f t="shared" si="16"/>
        <v>-1.3968022466674206</v>
      </c>
      <c r="I58">
        <f t="shared" si="17"/>
        <v>-1.9845874989598937</v>
      </c>
      <c r="J58">
        <f t="shared" si="18"/>
        <v>-2.2058192410423678</v>
      </c>
      <c r="K58">
        <f t="shared" si="19"/>
        <v>-2.7936044933348412</v>
      </c>
    </row>
    <row r="59" spans="1:11" x14ac:dyDescent="0.4">
      <c r="A59">
        <v>9</v>
      </c>
      <c r="C59">
        <f t="shared" si="12"/>
        <v>0.64203952192020597</v>
      </c>
      <c r="D59">
        <f t="shared" si="13"/>
        <v>0.33302252754525852</v>
      </c>
      <c r="E59">
        <f t="shared" si="14"/>
        <v>1.5930960382153596</v>
      </c>
      <c r="F59">
        <f t="shared" si="15"/>
        <v>1.2840790438404119</v>
      </c>
      <c r="H59">
        <f t="shared" si="16"/>
        <v>-1.2600735106701011</v>
      </c>
      <c r="I59">
        <f t="shared" si="17"/>
        <v>-1.5690905050450485</v>
      </c>
      <c r="J59">
        <f t="shared" si="18"/>
        <v>-2.2111300269652547</v>
      </c>
      <c r="K59">
        <f t="shared" si="19"/>
        <v>-2.5201470213402022</v>
      </c>
    </row>
    <row r="60" spans="1:11" x14ac:dyDescent="0.4">
      <c r="A60">
        <v>10</v>
      </c>
      <c r="C60">
        <f t="shared" si="12"/>
        <v>0.99999999999999989</v>
      </c>
      <c r="D60">
        <f t="shared" si="13"/>
        <v>0.99999999999999978</v>
      </c>
      <c r="E60">
        <f t="shared" si="14"/>
        <v>1.9999999999999998</v>
      </c>
      <c r="F60">
        <f t="shared" si="15"/>
        <v>1.9999999999999998</v>
      </c>
      <c r="H60">
        <f t="shared" si="16"/>
        <v>-1.0000000000000002</v>
      </c>
      <c r="I60">
        <f t="shared" si="17"/>
        <v>-1.0000000000000002</v>
      </c>
      <c r="J60">
        <f t="shared" si="18"/>
        <v>-2</v>
      </c>
      <c r="K60">
        <f t="shared" si="19"/>
        <v>-2.0000000000000004</v>
      </c>
    </row>
    <row r="61" spans="1:11" x14ac:dyDescent="0.4">
      <c r="A61">
        <v>11</v>
      </c>
      <c r="C61">
        <f t="shared" si="12"/>
        <v>1.2600735106701006</v>
      </c>
      <c r="D61">
        <f t="shared" si="13"/>
        <v>1.5690905050450477</v>
      </c>
      <c r="E61">
        <f t="shared" si="14"/>
        <v>2.2111300269652543</v>
      </c>
      <c r="F61">
        <f t="shared" si="15"/>
        <v>2.5201470213402013</v>
      </c>
      <c r="H61">
        <f t="shared" si="16"/>
        <v>-0.64203952192020686</v>
      </c>
      <c r="I61">
        <f t="shared" si="17"/>
        <v>-0.33302252754525996</v>
      </c>
      <c r="J61">
        <f t="shared" si="18"/>
        <v>-1.5930960382153607</v>
      </c>
      <c r="K61">
        <f t="shared" si="19"/>
        <v>-1.2840790438404137</v>
      </c>
    </row>
    <row r="62" spans="1:11" x14ac:dyDescent="0.4">
      <c r="A62">
        <v>12</v>
      </c>
      <c r="C62">
        <f t="shared" si="12"/>
        <v>1.3968022466674206</v>
      </c>
      <c r="D62">
        <f t="shared" si="13"/>
        <v>1.9845874989598937</v>
      </c>
      <c r="E62">
        <f t="shared" si="14"/>
        <v>2.2058192410423683</v>
      </c>
      <c r="F62">
        <f t="shared" si="15"/>
        <v>2.7936044933348412</v>
      </c>
      <c r="H62">
        <f t="shared" si="16"/>
        <v>-0.22123174208247454</v>
      </c>
      <c r="I62">
        <f t="shared" si="17"/>
        <v>0.36655351020999849</v>
      </c>
      <c r="J62">
        <f t="shared" si="18"/>
        <v>-1.030248736457422</v>
      </c>
      <c r="K62">
        <f t="shared" si="19"/>
        <v>-0.44246348416494907</v>
      </c>
    </row>
    <row r="63" spans="1:11" x14ac:dyDescent="0.4">
      <c r="A63">
        <v>13</v>
      </c>
      <c r="C63">
        <f t="shared" si="12"/>
        <v>1.3968022466674206</v>
      </c>
      <c r="D63">
        <f t="shared" si="13"/>
        <v>2.2058192410423678</v>
      </c>
      <c r="E63">
        <f t="shared" si="14"/>
        <v>1.9845874989598937</v>
      </c>
      <c r="F63">
        <f t="shared" si="15"/>
        <v>2.7936044933348412</v>
      </c>
      <c r="H63">
        <f t="shared" si="16"/>
        <v>0.22123174208247409</v>
      </c>
      <c r="I63">
        <f t="shared" si="17"/>
        <v>1.0302487364574215</v>
      </c>
      <c r="J63">
        <f t="shared" si="18"/>
        <v>-0.36655351020999916</v>
      </c>
      <c r="K63">
        <f t="shared" si="19"/>
        <v>0.44246348416494818</v>
      </c>
    </row>
    <row r="64" spans="1:11" x14ac:dyDescent="0.4">
      <c r="A64">
        <v>14</v>
      </c>
      <c r="C64">
        <f t="shared" si="12"/>
        <v>1.2600735106701011</v>
      </c>
      <c r="D64">
        <f t="shared" si="13"/>
        <v>2.2111300269652547</v>
      </c>
      <c r="E64">
        <f t="shared" si="14"/>
        <v>1.5690905050450485</v>
      </c>
      <c r="F64">
        <f t="shared" si="15"/>
        <v>2.5201470213402022</v>
      </c>
      <c r="H64">
        <f t="shared" si="16"/>
        <v>0.64203952192020597</v>
      </c>
      <c r="I64">
        <f t="shared" si="17"/>
        <v>1.5930960382153594</v>
      </c>
      <c r="J64">
        <f t="shared" si="18"/>
        <v>0.33302252754525841</v>
      </c>
      <c r="K64">
        <f t="shared" si="19"/>
        <v>1.2840790438404119</v>
      </c>
    </row>
    <row r="65" spans="1:11" x14ac:dyDescent="0.4">
      <c r="A65">
        <v>15</v>
      </c>
      <c r="C65">
        <f t="shared" si="12"/>
        <v>1.0000000000000002</v>
      </c>
      <c r="D65">
        <f t="shared" si="13"/>
        <v>2</v>
      </c>
      <c r="E65">
        <f t="shared" si="14"/>
        <v>1.0000000000000004</v>
      </c>
      <c r="F65">
        <f t="shared" si="15"/>
        <v>2.0000000000000004</v>
      </c>
      <c r="H65">
        <f t="shared" si="16"/>
        <v>0.99999999999999978</v>
      </c>
      <c r="I65">
        <f t="shared" si="17"/>
        <v>1.9999999999999998</v>
      </c>
      <c r="J65">
        <f t="shared" si="18"/>
        <v>0.99999999999999967</v>
      </c>
      <c r="K65">
        <f t="shared" si="19"/>
        <v>1.9999999999999996</v>
      </c>
    </row>
    <row r="66" spans="1:11" x14ac:dyDescent="0.4">
      <c r="A66">
        <v>16</v>
      </c>
      <c r="C66">
        <f t="shared" si="12"/>
        <v>0.64203952192020641</v>
      </c>
      <c r="D66">
        <f t="shared" si="13"/>
        <v>1.5930960382153601</v>
      </c>
      <c r="E66">
        <f t="shared" si="14"/>
        <v>0.33302252754525918</v>
      </c>
      <c r="F66">
        <f t="shared" si="15"/>
        <v>1.2840790438404128</v>
      </c>
      <c r="H66">
        <f t="shared" si="16"/>
        <v>1.2600735106701009</v>
      </c>
      <c r="I66">
        <f t="shared" si="17"/>
        <v>2.2111300269652547</v>
      </c>
      <c r="J66">
        <f t="shared" si="18"/>
        <v>1.5690905050450481</v>
      </c>
      <c r="K66">
        <f t="shared" si="19"/>
        <v>2.5201470213402017</v>
      </c>
    </row>
    <row r="67" spans="1:11" x14ac:dyDescent="0.4">
      <c r="A67">
        <v>17</v>
      </c>
      <c r="C67">
        <f t="shared" si="12"/>
        <v>0.22123174208247465</v>
      </c>
      <c r="D67">
        <f t="shared" si="13"/>
        <v>1.0302487364574222</v>
      </c>
      <c r="E67">
        <f t="shared" si="14"/>
        <v>-0.36655351020999827</v>
      </c>
      <c r="F67">
        <f t="shared" si="15"/>
        <v>0.44246348416494929</v>
      </c>
      <c r="H67">
        <f t="shared" si="16"/>
        <v>1.3968022466674204</v>
      </c>
      <c r="I67">
        <f t="shared" si="17"/>
        <v>2.2058192410423683</v>
      </c>
      <c r="J67">
        <f t="shared" si="18"/>
        <v>1.9845874989598933</v>
      </c>
      <c r="K67">
        <f t="shared" si="19"/>
        <v>2.7936044933348407</v>
      </c>
    </row>
    <row r="68" spans="1:11" x14ac:dyDescent="0.4">
      <c r="A68">
        <v>18</v>
      </c>
      <c r="C68">
        <f t="shared" si="12"/>
        <v>-0.22123174208247398</v>
      </c>
      <c r="D68">
        <f t="shared" si="13"/>
        <v>0.36655351020999938</v>
      </c>
      <c r="E68">
        <f t="shared" si="14"/>
        <v>-1.0302487364574213</v>
      </c>
      <c r="F68">
        <f t="shared" si="15"/>
        <v>-0.44246348416494796</v>
      </c>
      <c r="H68">
        <f t="shared" si="16"/>
        <v>1.3968022466674208</v>
      </c>
      <c r="I68">
        <f t="shared" si="17"/>
        <v>1.9845874989598942</v>
      </c>
      <c r="J68">
        <f t="shared" si="18"/>
        <v>2.2058192410423683</v>
      </c>
      <c r="K68">
        <f t="shared" si="19"/>
        <v>2.7936044933348416</v>
      </c>
    </row>
    <row r="69" spans="1:11" x14ac:dyDescent="0.4">
      <c r="A69">
        <v>19</v>
      </c>
      <c r="C69">
        <f t="shared" si="12"/>
        <v>-0.64203952192020597</v>
      </c>
      <c r="D69">
        <f t="shared" si="13"/>
        <v>-0.3330225275452583</v>
      </c>
      <c r="E69">
        <f t="shared" si="14"/>
        <v>-1.5930960382153594</v>
      </c>
      <c r="F69">
        <f t="shared" si="15"/>
        <v>-1.2840790438404119</v>
      </c>
      <c r="H69">
        <f t="shared" si="16"/>
        <v>1.2600735106701011</v>
      </c>
      <c r="I69">
        <f t="shared" si="17"/>
        <v>1.5690905050450488</v>
      </c>
      <c r="J69">
        <f t="shared" si="18"/>
        <v>2.2111300269652547</v>
      </c>
      <c r="K69">
        <f t="shared" si="19"/>
        <v>2.5201470213402022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E259F-E039-4FFD-A822-187F63E8CE3D}">
  <dimension ref="C1:S25"/>
  <sheetViews>
    <sheetView zoomScale="70" zoomScaleNormal="70" workbookViewId="0">
      <selection activeCell="V9" sqref="V9"/>
    </sheetView>
  </sheetViews>
  <sheetFormatPr defaultRowHeight="17.399999999999999" x14ac:dyDescent="0.4"/>
  <sheetData>
    <row r="1" spans="3:19" x14ac:dyDescent="0.4">
      <c r="C1">
        <f ca="1">_xlfn.NORM.S.INV(RAND())</f>
        <v>-4.7929422055256347E-2</v>
      </c>
    </row>
    <row r="2" spans="3:19" x14ac:dyDescent="0.4">
      <c r="C2">
        <f t="shared" ref="C2:C20" ca="1" si="0">_xlfn.NORM.S.INV(RAND())</f>
        <v>-0.50297152971429893</v>
      </c>
      <c r="N2">
        <v>3</v>
      </c>
    </row>
    <row r="3" spans="3:19" x14ac:dyDescent="0.4">
      <c r="C3">
        <f t="shared" ca="1" si="0"/>
        <v>0.34930681649496614</v>
      </c>
    </row>
    <row r="4" spans="3:19" x14ac:dyDescent="0.4">
      <c r="C4">
        <f t="shared" ca="1" si="0"/>
        <v>-0.65917498264818064</v>
      </c>
    </row>
    <row r="5" spans="3:19" x14ac:dyDescent="0.4">
      <c r="C5">
        <f t="shared" ca="1" si="0"/>
        <v>0.20202363144310989</v>
      </c>
    </row>
    <row r="6" spans="3:19" x14ac:dyDescent="0.4">
      <c r="C6">
        <f t="shared" ca="1" si="0"/>
        <v>-0.1253440902581241</v>
      </c>
      <c r="J6">
        <v>0</v>
      </c>
      <c r="K6">
        <v>1</v>
      </c>
      <c r="M6">
        <v>-1</v>
      </c>
      <c r="N6">
        <f ca="1">_xlfn.NORM.S.INV(RAND())*5</f>
        <v>-1.0227884576702742</v>
      </c>
      <c r="P6">
        <f ca="1">M6+N6</f>
        <v>-2.0227884576702744</v>
      </c>
      <c r="R6">
        <f ca="1">P6*J6</f>
        <v>0</v>
      </c>
      <c r="S6">
        <f ca="1">P6*K6</f>
        <v>-2.0227884576702744</v>
      </c>
    </row>
    <row r="7" spans="3:19" x14ac:dyDescent="0.4">
      <c r="C7">
        <f t="shared" ca="1" si="0"/>
        <v>-3.268218471381238E-2</v>
      </c>
      <c r="J7">
        <v>0.3090169943749474</v>
      </c>
      <c r="K7">
        <v>0.95105651629515353</v>
      </c>
      <c r="M7">
        <v>-0.64203952192020619</v>
      </c>
      <c r="N7">
        <f t="shared" ref="N7:N25" ca="1" si="1">_xlfn.NORM.S.INV(RAND())*5</f>
        <v>4.1060394383553991</v>
      </c>
      <c r="P7">
        <f t="shared" ref="P7:P25" ca="1" si="2">M7+N7</f>
        <v>3.4639999164351929</v>
      </c>
      <c r="R7">
        <f t="shared" ref="R7:R25" ca="1" si="3">P7*J7</f>
        <v>1.0704348426918722</v>
      </c>
      <c r="S7">
        <f t="shared" ref="S7:S25" ca="1" si="4">P7*K7</f>
        <v>3.2944596929715577</v>
      </c>
    </row>
    <row r="8" spans="3:19" x14ac:dyDescent="0.4">
      <c r="C8">
        <f t="shared" ca="1" si="0"/>
        <v>-0.63906546874780568</v>
      </c>
      <c r="J8">
        <v>0.58778525229247314</v>
      </c>
      <c r="K8">
        <v>0.80901699437494745</v>
      </c>
      <c r="M8">
        <v>-0.22123174208247431</v>
      </c>
      <c r="N8">
        <f t="shared" ca="1" si="1"/>
        <v>0.67929258646248669</v>
      </c>
      <c r="P8">
        <f t="shared" ca="1" si="2"/>
        <v>0.45806084438001238</v>
      </c>
      <c r="R8">
        <f t="shared" ca="1" si="3"/>
        <v>0.26924140897920884</v>
      </c>
      <c r="S8">
        <f t="shared" ca="1" si="4"/>
        <v>0.37057900756116813</v>
      </c>
    </row>
    <row r="9" spans="3:19" x14ac:dyDescent="0.4">
      <c r="C9">
        <f t="shared" ca="1" si="0"/>
        <v>0.35766136264366399</v>
      </c>
      <c r="J9">
        <v>0.80901699437494745</v>
      </c>
      <c r="K9">
        <v>0.58778525229247314</v>
      </c>
      <c r="M9">
        <v>0.22123174208247431</v>
      </c>
      <c r="N9">
        <f t="shared" ca="1" si="1"/>
        <v>4.3944417190020983</v>
      </c>
      <c r="P9">
        <f t="shared" ca="1" si="2"/>
        <v>4.6156734610845724</v>
      </c>
      <c r="R9">
        <f t="shared" ca="1" si="3"/>
        <v>3.734158270502852</v>
      </c>
      <c r="S9">
        <f t="shared" ca="1" si="4"/>
        <v>2.713024789823268</v>
      </c>
    </row>
    <row r="10" spans="3:19" x14ac:dyDescent="0.4">
      <c r="C10">
        <f t="shared" ca="1" si="0"/>
        <v>0.170212172620823</v>
      </c>
      <c r="J10">
        <v>0.95105651629515353</v>
      </c>
      <c r="K10">
        <v>0.30901699437494745</v>
      </c>
      <c r="M10">
        <v>0.64203952192020608</v>
      </c>
      <c r="N10">
        <f t="shared" ca="1" si="1"/>
        <v>8.80687064692024</v>
      </c>
      <c r="P10">
        <f t="shared" ca="1" si="2"/>
        <v>9.4489101688404453</v>
      </c>
      <c r="R10">
        <f t="shared" ca="1" si="3"/>
        <v>8.9864475879632444</v>
      </c>
      <c r="S10">
        <f t="shared" ca="1" si="4"/>
        <v>2.9198738204939518</v>
      </c>
    </row>
    <row r="11" spans="3:19" x14ac:dyDescent="0.4">
      <c r="C11">
        <f t="shared" ca="1" si="0"/>
        <v>1.1298911979711628</v>
      </c>
      <c r="J11">
        <v>1</v>
      </c>
      <c r="K11">
        <v>6.1257422745431001E-17</v>
      </c>
      <c r="M11">
        <v>0.99999999999999989</v>
      </c>
      <c r="N11">
        <f t="shared" ca="1" si="1"/>
        <v>0.82919144415941815</v>
      </c>
      <c r="P11">
        <f t="shared" ca="1" si="2"/>
        <v>1.8291914441594179</v>
      </c>
      <c r="R11">
        <f t="shared" ca="1" si="3"/>
        <v>1.8291914441594179</v>
      </c>
      <c r="S11">
        <f t="shared" ca="1" si="4"/>
        <v>1.1205155357719892E-16</v>
      </c>
    </row>
    <row r="12" spans="3:19" x14ac:dyDescent="0.4">
      <c r="C12">
        <f t="shared" ca="1" si="0"/>
        <v>0.64448392999327053</v>
      </c>
      <c r="J12">
        <v>0.95105651629515364</v>
      </c>
      <c r="K12">
        <v>-0.30901699437494734</v>
      </c>
      <c r="M12">
        <v>1.2600735106701011</v>
      </c>
      <c r="N12">
        <f t="shared" ca="1" si="1"/>
        <v>-2.7365915947983148</v>
      </c>
      <c r="P12">
        <f t="shared" ca="1" si="2"/>
        <v>-1.4765180841282137</v>
      </c>
      <c r="R12">
        <f t="shared" ca="1" si="3"/>
        <v>-1.4042521453377734</v>
      </c>
      <c r="S12">
        <f t="shared" ca="1" si="4"/>
        <v>0.45626918049755627</v>
      </c>
    </row>
    <row r="13" spans="3:19" x14ac:dyDescent="0.4">
      <c r="C13">
        <f t="shared" ca="1" si="0"/>
        <v>1.2684436406870194</v>
      </c>
      <c r="J13">
        <v>0.80901699437494745</v>
      </c>
      <c r="K13">
        <v>-0.58778525229247303</v>
      </c>
      <c r="M13">
        <v>1.3968022466674204</v>
      </c>
      <c r="N13">
        <f t="shared" ca="1" si="1"/>
        <v>7.2772248281130203</v>
      </c>
      <c r="P13">
        <f t="shared" ca="1" si="2"/>
        <v>8.6740270747804402</v>
      </c>
      <c r="R13">
        <f t="shared" ca="1" si="3"/>
        <v>7.0174353131657892</v>
      </c>
      <c r="S13">
        <f t="shared" ca="1" si="4"/>
        <v>-5.0984651925415632</v>
      </c>
    </row>
    <row r="14" spans="3:19" x14ac:dyDescent="0.4">
      <c r="C14">
        <f t="shared" ca="1" si="0"/>
        <v>1.1209993457685703</v>
      </c>
      <c r="J14">
        <v>0.58778525229247325</v>
      </c>
      <c r="K14">
        <v>-0.80901699437494734</v>
      </c>
      <c r="M14">
        <v>1.3968022466674206</v>
      </c>
      <c r="N14">
        <f t="shared" ca="1" si="1"/>
        <v>3.9111521531547959</v>
      </c>
      <c r="P14">
        <f t="shared" ca="1" si="2"/>
        <v>5.3079543998222167</v>
      </c>
      <c r="R14">
        <f t="shared" ca="1" si="3"/>
        <v>3.1199373160564452</v>
      </c>
      <c r="S14">
        <f t="shared" ca="1" si="4"/>
        <v>-4.2942253148234473</v>
      </c>
    </row>
    <row r="15" spans="3:19" x14ac:dyDescent="0.4">
      <c r="C15">
        <f ca="1">_xlfn.NORM.S.INV(RAND())</f>
        <v>-1.3576882020852274</v>
      </c>
      <c r="J15">
        <v>0.30901699437494751</v>
      </c>
      <c r="K15">
        <v>-0.95105651629515353</v>
      </c>
      <c r="M15">
        <v>1.2600735106701011</v>
      </c>
      <c r="N15">
        <f t="shared" ca="1" si="1"/>
        <v>-6.6014763862785291</v>
      </c>
      <c r="P15">
        <f t="shared" ca="1" si="2"/>
        <v>-5.341402875608428</v>
      </c>
      <c r="R15">
        <f t="shared" ca="1" si="3"/>
        <v>-1.6505842623662179</v>
      </c>
      <c r="S15">
        <f t="shared" ca="1" si="4"/>
        <v>5.0799760110050665</v>
      </c>
    </row>
    <row r="16" spans="3:19" x14ac:dyDescent="0.4">
      <c r="C16">
        <f t="shared" ca="1" si="0"/>
        <v>0.55913647428016222</v>
      </c>
      <c r="J16">
        <v>1.22514845490862E-16</v>
      </c>
      <c r="K16">
        <v>-1</v>
      </c>
      <c r="M16">
        <v>1.0000000000000002</v>
      </c>
      <c r="N16">
        <f t="shared" ca="1" si="1"/>
        <v>2.6377518863752707</v>
      </c>
      <c r="P16">
        <f t="shared" ca="1" si="2"/>
        <v>3.6377518863752707</v>
      </c>
      <c r="R16">
        <f t="shared" ca="1" si="3"/>
        <v>4.4567861029335807E-16</v>
      </c>
      <c r="S16">
        <f t="shared" ca="1" si="4"/>
        <v>-3.6377518863752707</v>
      </c>
    </row>
    <row r="17" spans="3:19" x14ac:dyDescent="0.4">
      <c r="C17">
        <f t="shared" ca="1" si="0"/>
        <v>-1.6301548276242215</v>
      </c>
      <c r="J17">
        <v>-0.3090169943749469</v>
      </c>
      <c r="K17">
        <v>-0.95105651629515375</v>
      </c>
      <c r="M17">
        <v>0.64203952192020686</v>
      </c>
      <c r="N17">
        <f t="shared" ca="1" si="1"/>
        <v>-3.8166458563104557</v>
      </c>
      <c r="P17">
        <f t="shared" ca="1" si="2"/>
        <v>-3.1746063343902486</v>
      </c>
      <c r="R17">
        <f t="shared" ca="1" si="3"/>
        <v>0.98100730777694223</v>
      </c>
      <c r="S17">
        <f t="shared" ca="1" si="4"/>
        <v>3.0192300409937176</v>
      </c>
    </row>
    <row r="18" spans="3:19" x14ac:dyDescent="0.4">
      <c r="C18">
        <f t="shared" ca="1" si="0"/>
        <v>-1.5787330334698266</v>
      </c>
      <c r="J18">
        <v>-0.58778525229247303</v>
      </c>
      <c r="K18">
        <v>-0.80901699437494756</v>
      </c>
      <c r="M18">
        <v>0.22123174208247454</v>
      </c>
      <c r="N18">
        <f t="shared" ca="1" si="1"/>
        <v>-5.5501143271701459</v>
      </c>
      <c r="P18">
        <f t="shared" ca="1" si="2"/>
        <v>-5.3288825850876709</v>
      </c>
      <c r="R18">
        <f t="shared" ca="1" si="3"/>
        <v>3.1322385947127227</v>
      </c>
      <c r="S18">
        <f t="shared" ca="1" si="4"/>
        <v>4.3111565723646281</v>
      </c>
    </row>
    <row r="19" spans="3:19" x14ac:dyDescent="0.4">
      <c r="C19">
        <f t="shared" ca="1" si="0"/>
        <v>-1.4895789255137262E-2</v>
      </c>
      <c r="J19">
        <v>-0.80901699437494734</v>
      </c>
      <c r="K19">
        <v>-0.58778525229247325</v>
      </c>
      <c r="M19">
        <v>-0.22123174208247409</v>
      </c>
      <c r="N19">
        <f t="shared" ca="1" si="1"/>
        <v>-6.8525670597411867</v>
      </c>
      <c r="P19">
        <f t="shared" ca="1" si="2"/>
        <v>-7.0737988018236608</v>
      </c>
      <c r="R19">
        <f t="shared" ca="1" si="3"/>
        <v>5.7228234454644822</v>
      </c>
      <c r="S19">
        <f t="shared" ca="1" si="4"/>
        <v>4.1578746133961157</v>
      </c>
    </row>
    <row r="20" spans="3:19" x14ac:dyDescent="0.4">
      <c r="C20">
        <f t="shared" ca="1" si="0"/>
        <v>-0.19922143854059357</v>
      </c>
      <c r="J20">
        <v>-0.95105651629515353</v>
      </c>
      <c r="K20">
        <v>-0.30901699437494756</v>
      </c>
      <c r="M20">
        <v>-0.64203952192020597</v>
      </c>
      <c r="N20">
        <f t="shared" ca="1" si="1"/>
        <v>-1.5413300472646954</v>
      </c>
      <c r="P20">
        <f t="shared" ca="1" si="2"/>
        <v>-2.1833695691849013</v>
      </c>
      <c r="R20">
        <f t="shared" ca="1" si="3"/>
        <v>2.0765078562538424</v>
      </c>
      <c r="S20">
        <f t="shared" ca="1" si="4"/>
        <v>0.67469830187924229</v>
      </c>
    </row>
    <row r="21" spans="3:19" x14ac:dyDescent="0.4">
      <c r="J21">
        <v>-1</v>
      </c>
      <c r="K21">
        <v>-1.83772268236293E-16</v>
      </c>
      <c r="M21">
        <v>-0.99999999999999978</v>
      </c>
      <c r="N21">
        <f t="shared" ca="1" si="1"/>
        <v>-8.5380001563330481</v>
      </c>
      <c r="P21">
        <f t="shared" ca="1" si="2"/>
        <v>-9.5380001563330481</v>
      </c>
      <c r="R21">
        <f t="shared" ca="1" si="3"/>
        <v>9.5380001563330481</v>
      </c>
      <c r="S21">
        <f t="shared" ca="1" si="4"/>
        <v>1.7528199231674416E-15</v>
      </c>
    </row>
    <row r="22" spans="3:19" x14ac:dyDescent="0.4">
      <c r="J22">
        <v>-0.95105651629515364</v>
      </c>
      <c r="K22">
        <v>0.30901699437494723</v>
      </c>
      <c r="M22">
        <v>-1.2600735106701009</v>
      </c>
      <c r="N22">
        <f t="shared" ca="1" si="1"/>
        <v>-6.5323664415322753</v>
      </c>
      <c r="P22">
        <f t="shared" ca="1" si="2"/>
        <v>-7.7924399522023764</v>
      </c>
      <c r="R22">
        <f t="shared" ca="1" si="3"/>
        <v>7.411050794380766</v>
      </c>
      <c r="S22">
        <f t="shared" ca="1" si="4"/>
        <v>-2.4079963728768359</v>
      </c>
    </row>
    <row r="23" spans="3:19" x14ac:dyDescent="0.4">
      <c r="J23">
        <v>-0.80901699437494756</v>
      </c>
      <c r="K23">
        <v>0.58778525229247292</v>
      </c>
      <c r="M23">
        <v>-1.3968022466674204</v>
      </c>
      <c r="N23">
        <f t="shared" ca="1" si="1"/>
        <v>-3.1948141989752052</v>
      </c>
      <c r="P23">
        <f t="shared" ca="1" si="2"/>
        <v>-4.5916164456426252</v>
      </c>
      <c r="R23">
        <f t="shared" ca="1" si="3"/>
        <v>3.7146957361763766</v>
      </c>
      <c r="S23">
        <f t="shared" ca="1" si="4"/>
        <v>-2.6988844309323183</v>
      </c>
    </row>
    <row r="24" spans="3:19" x14ac:dyDescent="0.4">
      <c r="J24">
        <v>-0.58778525229247336</v>
      </c>
      <c r="K24">
        <v>0.80901699437494734</v>
      </c>
      <c r="M24">
        <v>-1.3968022466674208</v>
      </c>
      <c r="N24">
        <f t="shared" ca="1" si="1"/>
        <v>-2.0912051408063053</v>
      </c>
      <c r="P24">
        <f t="shared" ca="1" si="2"/>
        <v>-3.4880073874737261</v>
      </c>
      <c r="R24">
        <f t="shared" ca="1" si="3"/>
        <v>2.0501993022442551</v>
      </c>
      <c r="S24">
        <f t="shared" ca="1" si="4"/>
        <v>-2.8218572529716064</v>
      </c>
    </row>
    <row r="25" spans="3:19" x14ac:dyDescent="0.4">
      <c r="J25">
        <v>-0.30901699437494762</v>
      </c>
      <c r="K25">
        <v>0.95105651629515353</v>
      </c>
      <c r="M25">
        <v>-1.2600735106701011</v>
      </c>
      <c r="N25">
        <f t="shared" ca="1" si="1"/>
        <v>0.91142092677015618</v>
      </c>
      <c r="P25">
        <f t="shared" ca="1" si="2"/>
        <v>-0.34865258389994491</v>
      </c>
      <c r="R25">
        <f t="shared" ca="1" si="3"/>
        <v>0.10773957355782023</v>
      </c>
      <c r="S25">
        <f t="shared" ca="1" si="4"/>
        <v>-0.33158831184118537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Booruruk</dc:creator>
  <cp:lastModifiedBy>Booruruk</cp:lastModifiedBy>
  <dcterms:created xsi:type="dcterms:W3CDTF">2019-06-17T08:35:31Z</dcterms:created>
  <dcterms:modified xsi:type="dcterms:W3CDTF">2019-06-17T10:49:00Z</dcterms:modified>
</cp:coreProperties>
</file>